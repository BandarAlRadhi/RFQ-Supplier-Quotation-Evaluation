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user\Desktop\"/>
    </mc:Choice>
  </mc:AlternateContent>
  <xr:revisionPtr revIDLastSave="0" documentId="13_ncr:1_{D54C67A0-7C64-4BAD-AF92-68215C37B900}" xr6:coauthVersionLast="47" xr6:coauthVersionMax="47" xr10:uidLastSave="{00000000-0000-0000-0000-000000000000}"/>
  <bookViews>
    <workbookView xWindow="-120" yWindow="-120" windowWidth="20730" windowHeight="11160" firstSheet="2" activeTab="4" xr2:uid="{00000000-000D-0000-FFFF-FFFF00000000}"/>
  </bookViews>
  <sheets>
    <sheet name="Dashboard" sheetId="1" r:id="rId1"/>
    <sheet name="Purchase Requisitions" sheetId="2" r:id="rId2"/>
    <sheet name="RFQ Register" sheetId="3" r:id="rId3"/>
    <sheet name="Quotation Comparison" sheetId="4" r:id="rId4"/>
    <sheet name="Supplier Evaluation" sheetId="5" r:id="rId5"/>
    <sheet name="Award Recommendation" sheetId="6" r:id="rId6"/>
    <sheet name="Lists" sheetId="7" r:id="rId7"/>
    <sheet name="Read Me" sheetId="8" r:id="rId8"/>
  </sheets>
  <definedNames>
    <definedName name="_xlnm._FilterDatabase" localSheetId="1" hidden="1">'Purchase Requisitions'!$A$4:$N$12</definedName>
  </definedNames>
  <calcPr calcId="191029" forceFullCalc="1"/>
</workbook>
</file>

<file path=xl/calcChain.xml><?xml version="1.0" encoding="utf-8"?>
<calcChain xmlns="http://schemas.openxmlformats.org/spreadsheetml/2006/main">
  <c r="G100" i="5" l="1"/>
  <c r="E100" i="5"/>
  <c r="G99" i="5"/>
  <c r="E99" i="5"/>
  <c r="G98" i="5"/>
  <c r="E98" i="5"/>
  <c r="G97" i="5"/>
  <c r="E97" i="5"/>
  <c r="G96" i="5"/>
  <c r="E96" i="5"/>
  <c r="G95" i="5"/>
  <c r="E95" i="5"/>
  <c r="G94" i="5"/>
  <c r="E94" i="5"/>
  <c r="G93" i="5"/>
  <c r="E93" i="5"/>
  <c r="G92" i="5"/>
  <c r="E92" i="5"/>
  <c r="G91" i="5"/>
  <c r="E91" i="5"/>
  <c r="G90" i="5"/>
  <c r="E90" i="5"/>
  <c r="G89" i="5"/>
  <c r="E89" i="5"/>
  <c r="G88" i="5"/>
  <c r="E88" i="5"/>
  <c r="G87" i="5"/>
  <c r="E87" i="5"/>
  <c r="G86" i="5"/>
  <c r="E86" i="5"/>
  <c r="G85" i="5"/>
  <c r="E85" i="5"/>
  <c r="G84" i="5"/>
  <c r="E84" i="5"/>
  <c r="G83" i="5"/>
  <c r="E83" i="5"/>
  <c r="G82" i="5"/>
  <c r="E82" i="5"/>
  <c r="G81" i="5"/>
  <c r="E81" i="5"/>
  <c r="G80" i="5"/>
  <c r="E80" i="5"/>
  <c r="G79" i="5"/>
  <c r="E79" i="5"/>
  <c r="G78" i="5"/>
  <c r="E78" i="5"/>
  <c r="G77" i="5"/>
  <c r="E77" i="5"/>
  <c r="G76" i="5"/>
  <c r="E76" i="5"/>
  <c r="G75" i="5"/>
  <c r="E75" i="5"/>
  <c r="G74" i="5"/>
  <c r="E74" i="5"/>
  <c r="G73" i="5"/>
  <c r="E73" i="5"/>
  <c r="G72" i="5"/>
  <c r="E72" i="5"/>
  <c r="G71" i="5"/>
  <c r="E71" i="5"/>
  <c r="G70" i="5"/>
  <c r="E70" i="5"/>
  <c r="G69" i="5"/>
  <c r="E69" i="5"/>
  <c r="G68" i="5"/>
  <c r="E68" i="5"/>
  <c r="G67" i="5"/>
  <c r="E67" i="5"/>
  <c r="G66" i="5"/>
  <c r="E66" i="5"/>
  <c r="G65" i="5"/>
  <c r="E65" i="5"/>
  <c r="G64" i="5"/>
  <c r="E64" i="5"/>
  <c r="G63" i="5"/>
  <c r="E63" i="5"/>
  <c r="G62" i="5"/>
  <c r="E62" i="5"/>
  <c r="G61" i="5"/>
  <c r="E61" i="5"/>
  <c r="G60" i="5"/>
  <c r="E60" i="5"/>
  <c r="G59" i="5"/>
  <c r="E59" i="5"/>
  <c r="G58" i="5"/>
  <c r="E58" i="5"/>
  <c r="G57" i="5"/>
  <c r="E57" i="5"/>
  <c r="G56" i="5"/>
  <c r="E56" i="5"/>
  <c r="G55" i="5"/>
  <c r="E55" i="5"/>
  <c r="G54" i="5"/>
  <c r="E54" i="5"/>
  <c r="G53" i="5"/>
  <c r="E53" i="5"/>
  <c r="G52" i="5"/>
  <c r="E52" i="5"/>
  <c r="G51" i="5"/>
  <c r="E51" i="5"/>
  <c r="G50" i="5"/>
  <c r="E50" i="5"/>
  <c r="G49" i="5"/>
  <c r="E49" i="5"/>
  <c r="G48" i="5"/>
  <c r="E48" i="5"/>
  <c r="G47" i="5"/>
  <c r="E47" i="5"/>
  <c r="G46" i="5"/>
  <c r="E46" i="5"/>
  <c r="G45" i="5"/>
  <c r="E45" i="5"/>
  <c r="G44" i="5"/>
  <c r="E44" i="5"/>
  <c r="G43" i="5"/>
  <c r="E43" i="5"/>
  <c r="G42" i="5"/>
  <c r="E42" i="5"/>
  <c r="G41" i="5"/>
  <c r="E41" i="5"/>
  <c r="G40" i="5"/>
  <c r="E40" i="5"/>
  <c r="G39" i="5"/>
  <c r="E39" i="5"/>
  <c r="G38" i="5"/>
  <c r="E38" i="5"/>
  <c r="G37" i="5"/>
  <c r="E37" i="5"/>
  <c r="G36" i="5"/>
  <c r="E36" i="5"/>
  <c r="G35" i="5"/>
  <c r="E35" i="5"/>
  <c r="G34" i="5"/>
  <c r="E34" i="5"/>
  <c r="G33" i="5"/>
  <c r="E33" i="5"/>
  <c r="G32" i="5"/>
  <c r="E32" i="5"/>
  <c r="G31" i="5"/>
  <c r="E31" i="5"/>
  <c r="G30" i="5"/>
  <c r="E30" i="5"/>
  <c r="G29" i="5"/>
  <c r="E29" i="5"/>
  <c r="G28" i="5"/>
  <c r="E28" i="5"/>
  <c r="G27" i="5"/>
  <c r="E27" i="5"/>
  <c r="G26" i="5"/>
  <c r="E26" i="5"/>
  <c r="G25" i="5"/>
  <c r="E25" i="5"/>
  <c r="G24" i="5"/>
  <c r="E24" i="5"/>
  <c r="G23" i="5"/>
  <c r="E23" i="5"/>
  <c r="G22" i="5"/>
  <c r="E22" i="5"/>
  <c r="G21" i="5"/>
  <c r="E21" i="5"/>
  <c r="G20" i="5"/>
  <c r="E20" i="5"/>
  <c r="G19" i="5"/>
  <c r="E19" i="5"/>
  <c r="G18" i="5"/>
  <c r="E18" i="5"/>
  <c r="G17" i="5"/>
  <c r="E17" i="5"/>
  <c r="G16" i="5"/>
  <c r="E16" i="5"/>
  <c r="G15" i="5"/>
  <c r="E15" i="5"/>
  <c r="K14" i="5"/>
  <c r="F14" i="5"/>
  <c r="K13" i="5"/>
  <c r="E13" i="5" s="1"/>
  <c r="F13" i="5"/>
  <c r="K12" i="5"/>
  <c r="F12" i="5"/>
  <c r="K11" i="5"/>
  <c r="F11" i="5"/>
  <c r="K10" i="5"/>
  <c r="F10" i="5"/>
  <c r="K9" i="5"/>
  <c r="F9" i="5"/>
  <c r="K8" i="5"/>
  <c r="F8" i="5"/>
  <c r="K7" i="5"/>
  <c r="L7" i="5" s="1"/>
  <c r="F7" i="5"/>
  <c r="K6" i="5"/>
  <c r="F6" i="5"/>
  <c r="K5" i="5"/>
  <c r="F5" i="5"/>
  <c r="P100" i="4"/>
  <c r="P99" i="4"/>
  <c r="P98" i="4"/>
  <c r="P97" i="4"/>
  <c r="P96" i="4"/>
  <c r="P95" i="4"/>
  <c r="P94" i="4"/>
  <c r="P93" i="4"/>
  <c r="P92" i="4"/>
  <c r="P91" i="4"/>
  <c r="P90" i="4"/>
  <c r="P89" i="4"/>
  <c r="P88" i="4"/>
  <c r="P87" i="4"/>
  <c r="P86" i="4"/>
  <c r="P85" i="4"/>
  <c r="P84" i="4"/>
  <c r="P83" i="4"/>
  <c r="P82" i="4"/>
  <c r="P81" i="4"/>
  <c r="P80" i="4"/>
  <c r="P79" i="4"/>
  <c r="P78" i="4"/>
  <c r="P77" i="4"/>
  <c r="P76" i="4"/>
  <c r="P75" i="4"/>
  <c r="P74" i="4"/>
  <c r="P73" i="4"/>
  <c r="P72" i="4"/>
  <c r="P71" i="4"/>
  <c r="P70" i="4"/>
  <c r="P69" i="4"/>
  <c r="P68" i="4"/>
  <c r="P67" i="4"/>
  <c r="P66" i="4"/>
  <c r="P65" i="4"/>
  <c r="P64" i="4"/>
  <c r="P63" i="4"/>
  <c r="P62" i="4"/>
  <c r="P61" i="4"/>
  <c r="P60" i="4"/>
  <c r="P59" i="4"/>
  <c r="P58" i="4"/>
  <c r="P57" i="4"/>
  <c r="P56" i="4"/>
  <c r="P55" i="4"/>
  <c r="P54" i="4"/>
  <c r="P53" i="4"/>
  <c r="P52" i="4"/>
  <c r="P51" i="4"/>
  <c r="P50" i="4"/>
  <c r="P49" i="4"/>
  <c r="P48" i="4"/>
  <c r="P47" i="4"/>
  <c r="P46" i="4"/>
  <c r="P45" i="4"/>
  <c r="P44" i="4"/>
  <c r="P43" i="4"/>
  <c r="P42" i="4"/>
  <c r="P41" i="4"/>
  <c r="P40" i="4"/>
  <c r="P39" i="4"/>
  <c r="P38" i="4"/>
  <c r="P37" i="4"/>
  <c r="P36" i="4"/>
  <c r="P35" i="4"/>
  <c r="P34" i="4"/>
  <c r="P33" i="4"/>
  <c r="P32" i="4"/>
  <c r="P31" i="4"/>
  <c r="P30" i="4"/>
  <c r="P29" i="4"/>
  <c r="P28" i="4"/>
  <c r="P27" i="4"/>
  <c r="P26" i="4"/>
  <c r="P25" i="4"/>
  <c r="P24" i="4"/>
  <c r="P23" i="4"/>
  <c r="P22" i="4"/>
  <c r="P21" i="4"/>
  <c r="P20" i="4"/>
  <c r="P19" i="4"/>
  <c r="P18" i="4"/>
  <c r="P17" i="4"/>
  <c r="P16" i="4"/>
  <c r="P15" i="4"/>
  <c r="O14" i="4"/>
  <c r="Q14" i="4" s="1"/>
  <c r="J14" i="4"/>
  <c r="D14" i="5" s="1"/>
  <c r="Q13" i="4"/>
  <c r="O13" i="4"/>
  <c r="J13" i="4"/>
  <c r="D13" i="5" s="1"/>
  <c r="O12" i="4"/>
  <c r="Q12" i="4" s="1"/>
  <c r="J12" i="4"/>
  <c r="D12" i="5" s="1"/>
  <c r="O11" i="4"/>
  <c r="Q11" i="4" s="1"/>
  <c r="J11" i="4"/>
  <c r="D11" i="5" s="1"/>
  <c r="O10" i="4"/>
  <c r="Q10" i="4" s="1"/>
  <c r="J10" i="4"/>
  <c r="D10" i="5" s="1"/>
  <c r="O9" i="4"/>
  <c r="Q9" i="4" s="1"/>
  <c r="J9" i="4"/>
  <c r="D9" i="5" s="1"/>
  <c r="O8" i="4"/>
  <c r="Q8" i="4" s="1"/>
  <c r="J8" i="4"/>
  <c r="D8" i="5" s="1"/>
  <c r="Q7" i="4"/>
  <c r="O7" i="4"/>
  <c r="J7" i="4"/>
  <c r="D7" i="5" s="1"/>
  <c r="O6" i="4"/>
  <c r="Q6" i="4" s="1"/>
  <c r="J6" i="4"/>
  <c r="D6" i="5" s="1"/>
  <c r="O5" i="4"/>
  <c r="Q5" i="4" s="1"/>
  <c r="J5" i="4"/>
  <c r="D5" i="5" s="1"/>
  <c r="D13" i="1"/>
  <c r="C13" i="1"/>
  <c r="D12" i="1"/>
  <c r="C12" i="1"/>
  <c r="D11" i="1"/>
  <c r="C11" i="1"/>
  <c r="D10" i="1"/>
  <c r="C10" i="1"/>
  <c r="G5" i="1"/>
  <c r="E5" i="1"/>
  <c r="C5" i="1"/>
  <c r="A5" i="1"/>
  <c r="E7" i="6" l="1"/>
  <c r="E6" i="6"/>
  <c r="E8" i="6"/>
  <c r="E5" i="6"/>
  <c r="G6" i="5"/>
  <c r="G12" i="5"/>
  <c r="G8" i="5"/>
  <c r="G14" i="5"/>
  <c r="G10" i="5"/>
  <c r="G9" i="5"/>
  <c r="G11" i="5"/>
  <c r="G13" i="5"/>
  <c r="G5" i="5"/>
  <c r="G7" i="5"/>
  <c r="J13" i="5"/>
  <c r="J7" i="5"/>
  <c r="E11" i="5"/>
  <c r="E5" i="5"/>
  <c r="E9" i="5"/>
  <c r="E7" i="5"/>
  <c r="E6" i="5"/>
  <c r="E8" i="5"/>
  <c r="E10" i="5"/>
  <c r="E12" i="5"/>
  <c r="E14" i="5"/>
  <c r="E11" i="1"/>
  <c r="E13" i="1"/>
  <c r="E10" i="1"/>
  <c r="E12" i="1"/>
  <c r="J16" i="5"/>
  <c r="J20" i="5"/>
  <c r="J24" i="5"/>
  <c r="J28" i="5"/>
  <c r="J32" i="5"/>
  <c r="J36" i="5"/>
  <c r="P9" i="4"/>
  <c r="P11" i="4"/>
  <c r="G11" i="1"/>
  <c r="J40" i="5"/>
  <c r="J44" i="5"/>
  <c r="J48" i="5"/>
  <c r="J52" i="5"/>
  <c r="J56" i="5"/>
  <c r="J60" i="5"/>
  <c r="J64" i="5"/>
  <c r="J68" i="5"/>
  <c r="J99" i="5"/>
  <c r="P6" i="4"/>
  <c r="P14" i="4"/>
  <c r="J18" i="5"/>
  <c r="J22" i="5"/>
  <c r="J26" i="5"/>
  <c r="J30" i="5"/>
  <c r="J34" i="5"/>
  <c r="J38" i="5"/>
  <c r="J42" i="5"/>
  <c r="J46" i="5"/>
  <c r="J50" i="5"/>
  <c r="J54" i="5"/>
  <c r="J58" i="5"/>
  <c r="J62" i="5"/>
  <c r="J66" i="5"/>
  <c r="J70" i="5"/>
  <c r="J74" i="5"/>
  <c r="J78" i="5"/>
  <c r="J82" i="5"/>
  <c r="J86" i="5"/>
  <c r="J90" i="5"/>
  <c r="J94" i="5"/>
  <c r="J98" i="5"/>
  <c r="J17" i="5"/>
  <c r="P13" i="4"/>
  <c r="J72" i="5"/>
  <c r="J76" i="5"/>
  <c r="J80" i="5"/>
  <c r="J84" i="5"/>
  <c r="J88" i="5"/>
  <c r="J92" i="5"/>
  <c r="J100" i="5"/>
  <c r="G10" i="1"/>
  <c r="G13" i="1"/>
  <c r="P5" i="4"/>
  <c r="P8" i="4"/>
  <c r="P12" i="4"/>
  <c r="J15" i="5"/>
  <c r="J19" i="5"/>
  <c r="G12" i="1"/>
  <c r="P7" i="4"/>
  <c r="P10" i="4"/>
  <c r="J21" i="5"/>
  <c r="J25" i="5"/>
  <c r="J29" i="5"/>
  <c r="J33" i="5"/>
  <c r="J37" i="5"/>
  <c r="J41" i="5"/>
  <c r="J45" i="5"/>
  <c r="J49" i="5"/>
  <c r="J53" i="5"/>
  <c r="J57" i="5"/>
  <c r="J61" i="5"/>
  <c r="J65" i="5"/>
  <c r="J69" i="5"/>
  <c r="J73" i="5"/>
  <c r="J77" i="5"/>
  <c r="J81" i="5"/>
  <c r="J85" i="5"/>
  <c r="J89" i="5"/>
  <c r="J93" i="5"/>
  <c r="J97" i="5"/>
  <c r="L13" i="5"/>
  <c r="J96" i="5"/>
  <c r="J23" i="5"/>
  <c r="J27" i="5"/>
  <c r="J31" i="5"/>
  <c r="J35" i="5"/>
  <c r="J39" i="5"/>
  <c r="J43" i="5"/>
  <c r="J47" i="5"/>
  <c r="J51" i="5"/>
  <c r="J55" i="5"/>
  <c r="J59" i="5"/>
  <c r="J63" i="5"/>
  <c r="J67" i="5"/>
  <c r="J71" i="5"/>
  <c r="J75" i="5"/>
  <c r="J79" i="5"/>
  <c r="J83" i="5"/>
  <c r="J87" i="5"/>
  <c r="J91" i="5"/>
  <c r="J95" i="5"/>
  <c r="J5" i="5" l="1"/>
  <c r="J8" i="5"/>
  <c r="L8" i="5" s="1"/>
  <c r="J14" i="5"/>
  <c r="L14" i="5" s="1"/>
  <c r="J6" i="5"/>
  <c r="L6" i="5" s="1"/>
  <c r="J11" i="5"/>
  <c r="L11" i="5" s="1"/>
  <c r="J12" i="5"/>
  <c r="L12" i="5" s="1"/>
  <c r="J10" i="5"/>
  <c r="L10" i="5" s="1"/>
  <c r="J9" i="5"/>
  <c r="L9" i="5" s="1"/>
  <c r="C8" i="6" l="1"/>
  <c r="G8" i="6" s="1"/>
  <c r="C7" i="6"/>
  <c r="C6" i="6"/>
  <c r="D6" i="6" s="1"/>
  <c r="F6" i="6" s="1"/>
  <c r="C5" i="6"/>
  <c r="G5" i="6" s="1"/>
  <c r="D7" i="6"/>
  <c r="F7" i="6" s="1"/>
  <c r="L5" i="5"/>
  <c r="D8" i="6" l="1"/>
  <c r="F8" i="6" s="1"/>
  <c r="F13" i="1"/>
  <c r="D5" i="6"/>
  <c r="F5" i="6" s="1"/>
  <c r="F12" i="1"/>
  <c r="F10" i="1"/>
  <c r="G7" i="6"/>
  <c r="F11" i="1"/>
  <c r="G6" i="6"/>
</calcChain>
</file>

<file path=xl/sharedStrings.xml><?xml version="1.0" encoding="utf-8"?>
<sst xmlns="http://schemas.openxmlformats.org/spreadsheetml/2006/main" count="479" uniqueCount="249">
  <si>
    <t>RFQ &amp; Supplier Quotation Evaluation Dashboard</t>
  </si>
  <si>
    <t>Illustrative procurement scenario | Currency: SAR  | All sample records are fictional.</t>
  </si>
  <si>
    <t>RFQs Tracked</t>
  </si>
  <si>
    <t>Quotations Received</t>
  </si>
  <si>
    <t>Compliant Quotations</t>
  </si>
  <si>
    <t>Requisition ID</t>
  </si>
  <si>
    <t>Item / Service</t>
  </si>
  <si>
    <t>Quotes Received</t>
  </si>
  <si>
    <t>Compliant Quotes</t>
  </si>
  <si>
    <t>Lowest Compliant Cost (SAR)</t>
  </si>
  <si>
    <t>Recommended Supplier</t>
  </si>
  <si>
    <t>Status</t>
  </si>
  <si>
    <t>PR-2026-001</t>
  </si>
  <si>
    <t>Industrial Safety Gloves</t>
  </si>
  <si>
    <t>PR-2026-002</t>
  </si>
  <si>
    <t>LED High-Bay Lights</t>
  </si>
  <si>
    <t>PR-2026-003</t>
  </si>
  <si>
    <t>Wireless Barcode Scanners</t>
  </si>
  <si>
    <t>PR-2026-005</t>
  </si>
  <si>
    <t>Industrial Bearings</t>
  </si>
  <si>
    <t>How to use</t>
  </si>
  <si>
    <t>1. Review Purchase Requisitions and update request details and statuses.</t>
  </si>
  <si>
    <t>2. Track supplier invitations and responses in RFQ Register.</t>
  </si>
  <si>
    <t>3. Enter supplier quotations in Quotation Comparison; formulas calculate total cost and eligibility.</t>
  </si>
  <si>
    <t>4. Review Supplier Evaluation and adjust documented score inputs where justified.</t>
  </si>
  <si>
    <t>5. Use Award Recommendation as a decision-support summary, then obtain authorized approval.</t>
  </si>
  <si>
    <t>6. All data are fictional examples; validate VAT, procurement policy, and scoring rules before real use.</t>
  </si>
  <si>
    <t>Purchase Requisitions</t>
  </si>
  <si>
    <t>Register internal purchase requests before sourcing suppliers. Sample data is illustrative; replace it with your own records.</t>
  </si>
  <si>
    <t>Request Date</t>
  </si>
  <si>
    <t>Requesting Department</t>
  </si>
  <si>
    <t>Requested By</t>
  </si>
  <si>
    <t>Item / Service Description</t>
  </si>
  <si>
    <t>Category</t>
  </si>
  <si>
    <t>Specification / Required Standard</t>
  </si>
  <si>
    <t>Quantity</t>
  </si>
  <si>
    <t>Unit</t>
  </si>
  <si>
    <t>Required By Date</t>
  </si>
  <si>
    <t>Priority</t>
  </si>
  <si>
    <t>Requisition Status</t>
  </si>
  <si>
    <t>Budget Code</t>
  </si>
  <si>
    <t>Notes</t>
  </si>
  <si>
    <t>2026-09-02</t>
  </si>
  <si>
    <t>Maintenance</t>
  </si>
  <si>
    <t>L. Carter</t>
  </si>
  <si>
    <t>PPE</t>
  </si>
  <si>
    <t>EN 388 compliant; size mix specified</t>
  </si>
  <si>
    <t>Pair</t>
  </si>
  <si>
    <t>2026-09-18</t>
  </si>
  <si>
    <t>High</t>
  </si>
  <si>
    <t>Approved</t>
  </si>
  <si>
    <t>MNT- PPE-01</t>
  </si>
  <si>
    <t>Routine replenishment</t>
  </si>
  <si>
    <t>2026-09-03</t>
  </si>
  <si>
    <t>Facilities</t>
  </si>
  <si>
    <t>A. Morgan</t>
  </si>
  <si>
    <t>Electrical</t>
  </si>
  <si>
    <t>150W LED; 5000K; minimum 20,000 lm</t>
  </si>
  <si>
    <t>Each</t>
  </si>
  <si>
    <t>2026-09-25</t>
  </si>
  <si>
    <t>Normal</t>
  </si>
  <si>
    <t>FAC-ELE-04</t>
  </si>
  <si>
    <t>Replace failed warehouse fixtures</t>
  </si>
  <si>
    <t>2026-09-04</t>
  </si>
  <si>
    <t>IT</t>
  </si>
  <si>
    <t>J. Wilson</t>
  </si>
  <si>
    <t>IT Equipment</t>
  </si>
  <si>
    <t>2D scanning; USB/Bluetooth; warranty required</t>
  </si>
  <si>
    <t>2026-09-28</t>
  </si>
  <si>
    <t>IT-HW-02</t>
  </si>
  <si>
    <t>For receiving and inventory teams</t>
  </si>
  <si>
    <t>PR-2026-004</t>
  </si>
  <si>
    <t>2026-09-05</t>
  </si>
  <si>
    <t>Operations</t>
  </si>
  <si>
    <t>R. Patel</t>
  </si>
  <si>
    <t>Stretch Wrap Film</t>
  </si>
  <si>
    <t>Packaging</t>
  </si>
  <si>
    <t>500 mm width; 23 micron; clear</t>
  </si>
  <si>
    <t>Roll</t>
  </si>
  <si>
    <t>2026-09-20</t>
  </si>
  <si>
    <t>Submitted</t>
  </si>
  <si>
    <t>OPS-PKG-03</t>
  </si>
  <si>
    <t>Monthly packaging requirement</t>
  </si>
  <si>
    <t>2026-09-06</t>
  </si>
  <si>
    <t>MRO</t>
  </si>
  <si>
    <t>6205-2RS; manufacturer traceability required</t>
  </si>
  <si>
    <t>2026-09-30</t>
  </si>
  <si>
    <t>Critical</t>
  </si>
  <si>
    <t>MNT-MRO-07</t>
  </si>
  <si>
    <t>Equipment maintenance requirement</t>
  </si>
  <si>
    <t>PR-2026-006</t>
  </si>
  <si>
    <t>2026-09-08</t>
  </si>
  <si>
    <t>Industrial Cleaning Detergent</t>
  </si>
  <si>
    <t>Cleaning Supplies</t>
  </si>
  <si>
    <t>Concentrated formula; safety data sheet required</t>
  </si>
  <si>
    <t>Can</t>
  </si>
  <si>
    <t>2026-09-22</t>
  </si>
  <si>
    <t>Low</t>
  </si>
  <si>
    <t>FAC-CLN-02</t>
  </si>
  <si>
    <t>Monthly facility supplies</t>
  </si>
  <si>
    <t>PR-2026-007</t>
  </si>
  <si>
    <t>2026-09-09</t>
  </si>
  <si>
    <t>Pallets - Heat Treated</t>
  </si>
  <si>
    <t>Logistics Supplies</t>
  </si>
  <si>
    <t>1200 x 1000 mm; ISPM 15 compliant</t>
  </si>
  <si>
    <t>2026-10-02</t>
  </si>
  <si>
    <t>OPS-LOG-05</t>
  </si>
  <si>
    <t>For export-ready storage</t>
  </si>
  <si>
    <t>PR-2026-008</t>
  </si>
  <si>
    <t>2026-09-10</t>
  </si>
  <si>
    <t>UPS Battery Replacement Kit</t>
  </si>
  <si>
    <t>Compatible with existing UPS model; 12-month warranty</t>
  </si>
  <si>
    <t>Kit</t>
  </si>
  <si>
    <t>2026-09-29</t>
  </si>
  <si>
    <t>IT-HW-05</t>
  </si>
  <si>
    <t>Backup power maintenance</t>
  </si>
  <si>
    <t>RFQ Register</t>
  </si>
  <si>
    <t>Track supplier invitations, responses, quotation validity, and follow-up actions.</t>
  </si>
  <si>
    <t>RFQ ID</t>
  </si>
  <si>
    <t>Supplier ID</t>
  </si>
  <si>
    <t>Supplier Name</t>
  </si>
  <si>
    <t>RFQ Sent Date</t>
  </si>
  <si>
    <t>Response Due Date</t>
  </si>
  <si>
    <t>Supplier Response</t>
  </si>
  <si>
    <t>Quotation Received Date</t>
  </si>
  <si>
    <t>Quoted Valid Until</t>
  </si>
  <si>
    <t>RFQ Status</t>
  </si>
  <si>
    <t>Follow-up Owner</t>
  </si>
  <si>
    <t>Follow-up Notes</t>
  </si>
  <si>
    <t>RFQ-2026-001</t>
  </si>
  <si>
    <t>SUP-001</t>
  </si>
  <si>
    <t>Gulf Industrial Supply</t>
  </si>
  <si>
    <t>Received</t>
  </si>
  <si>
    <t>2026-09-07</t>
  </si>
  <si>
    <t>2026-10-07</t>
  </si>
  <si>
    <t>Responses Received</t>
  </si>
  <si>
    <t>Complete quotation received</t>
  </si>
  <si>
    <t>RFQ-2026-002</t>
  </si>
  <si>
    <t>SUP-002</t>
  </si>
  <si>
    <t>Eastern Safety Trading</t>
  </si>
  <si>
    <t>2026-10-08</t>
  </si>
  <si>
    <t>Quotation received on due date</t>
  </si>
  <si>
    <t>RFQ-2026-003</t>
  </si>
  <si>
    <t>SUP-003</t>
  </si>
  <si>
    <t>ProShield Supplies</t>
  </si>
  <si>
    <t>2026-10-06</t>
  </si>
  <si>
    <t>Alternative brand offered; verify compliance</t>
  </si>
  <si>
    <t>RFQ-2026-004</t>
  </si>
  <si>
    <t>SUP-004</t>
  </si>
  <si>
    <t>BrightTech Electrical</t>
  </si>
  <si>
    <t>2026-09-11</t>
  </si>
  <si>
    <t>2026-10-10</t>
  </si>
  <si>
    <t>RFQ-2026-005</t>
  </si>
  <si>
    <t>SUP-005</t>
  </si>
  <si>
    <t>Al Noor Lighting</t>
  </si>
  <si>
    <t>2026-10-11</t>
  </si>
  <si>
    <t>RFQ-2026-006</t>
  </si>
  <si>
    <t>SUP-006</t>
  </si>
  <si>
    <t>Modern Light Solutions</t>
  </si>
  <si>
    <t>Pending</t>
  </si>
  <si>
    <t>Follow up before due date</t>
  </si>
  <si>
    <t>RFQ-2026-007</t>
  </si>
  <si>
    <t>SUP-007</t>
  </si>
  <si>
    <t>ScanPro Systems</t>
  </si>
  <si>
    <t>2026-09-13</t>
  </si>
  <si>
    <t>2026-09-12</t>
  </si>
  <si>
    <t>2026-10-12</t>
  </si>
  <si>
    <t>RFQ-2026-008</t>
  </si>
  <si>
    <t>SUP-008</t>
  </si>
  <si>
    <t>TechRoute Trading</t>
  </si>
  <si>
    <t>2026-10-13</t>
  </si>
  <si>
    <t>Warranty term requires review</t>
  </si>
  <si>
    <t>RFQ-2026-009</t>
  </si>
  <si>
    <t>SUP-009</t>
  </si>
  <si>
    <t>Digital Supply House</t>
  </si>
  <si>
    <t>Declined</t>
  </si>
  <si>
    <t>Supplier declined to quote</t>
  </si>
  <si>
    <t>RFQ-2026-010</t>
  </si>
  <si>
    <t>RFQ-2026-011</t>
  </si>
  <si>
    <t>SUP-010</t>
  </si>
  <si>
    <t>Bearing World</t>
  </si>
  <si>
    <t>Confirm manufacturer traceability</t>
  </si>
  <si>
    <t>RFQ-2026-012</t>
  </si>
  <si>
    <t>SUP-011</t>
  </si>
  <si>
    <t>Precision MRO</t>
  </si>
  <si>
    <t>Quotation Comparison</t>
  </si>
  <si>
    <t>Compare supplier quotations on a like-for-like basis. Total cost includes discount, shipping, and VAT; confirm tax treatment before real use.</t>
  </si>
  <si>
    <t>Quoted Unit Price (SAR)</t>
  </si>
  <si>
    <t>Discount (%)</t>
  </si>
  <si>
    <t>Shipping (SAR)</t>
  </si>
  <si>
    <t>VAT Rate (%)</t>
  </si>
  <si>
    <t>Total Quoted Cost (SAR)</t>
  </si>
  <si>
    <t>Lead Time (Days)</t>
  </si>
  <si>
    <t>Payment Terms (Days)</t>
  </si>
  <si>
    <t>Specification Compliant?</t>
  </si>
  <si>
    <t>Warranty (Months)</t>
  </si>
  <si>
    <t>Quotation Valid?</t>
  </si>
  <si>
    <t>Price Rank</t>
  </si>
  <si>
    <t>Evaluation Status</t>
  </si>
  <si>
    <t>Yes</t>
  </si>
  <si>
    <t>No</t>
  </si>
  <si>
    <t>Supplier Evaluation</t>
  </si>
  <si>
    <t>Weighted scoring is an illustrative decision aid. Compliance is a mandatory gate; a high score does not override non-compliance.</t>
  </si>
  <si>
    <t>Price Score (0-100)</t>
  </si>
  <si>
    <t>Lead Time Score (0-100)</t>
  </si>
  <si>
    <t>Quality Score (0-100)</t>
  </si>
  <si>
    <t>Payment Terms Score (0-100)</t>
  </si>
  <si>
    <t>Weighted Score</t>
  </si>
  <si>
    <t>Compliance Gate</t>
  </si>
  <si>
    <t>Recommendation</t>
  </si>
  <si>
    <t>Award Recommendation</t>
  </si>
  <si>
    <t>Decision-support summary for review and approval. Final supplier selection must follow company policy and authorized approval.</t>
  </si>
  <si>
    <t>Recommended Total Cost (SAR)</t>
  </si>
  <si>
    <t>Potential Cost Difference (SAR)</t>
  </si>
  <si>
    <t>Recommendation Rationale</t>
  </si>
  <si>
    <t>Approval Status</t>
  </si>
  <si>
    <t>Reference Lists</t>
  </si>
  <si>
    <t>Controlled values used by dropdowns throughout the workbook. Edit carefully to preserve formula logic.</t>
  </si>
  <si>
    <t>Compliance Status</t>
  </si>
  <si>
    <t>Draft</t>
  </si>
  <si>
    <t>Compliant</t>
  </si>
  <si>
    <t>Sent</t>
  </si>
  <si>
    <t>Non-Compliant</t>
  </si>
  <si>
    <t>Pending Review</t>
  </si>
  <si>
    <t>Rejected</t>
  </si>
  <si>
    <t>Closed</t>
  </si>
  <si>
    <t>No Response</t>
  </si>
  <si>
    <t>Cancelled</t>
  </si>
  <si>
    <t>Read Me | RFQ &amp; Supplier Quotation Evaluation System</t>
  </si>
  <si>
    <t>A practical Excel 2019 portfolio project for procurement operations and supplier evaluation.</t>
  </si>
  <si>
    <t>Project Purpose</t>
  </si>
  <si>
    <t>This workbook simulates a procurement workflow from internal purchase requisition through RFQ tracking, quotation comparison, supplier evaluation, and award recommendation.</t>
  </si>
  <si>
    <t>Compatibility</t>
  </si>
  <si>
    <t>Designed for Microsoft Excel 2019. Uses standard formulas such as IF, IFERROR, INDEX, MATCH, COUNTIF, COUNTIFS, and AGGREGATE. No macros are required.</t>
  </si>
  <si>
    <t>Workbook Structure</t>
  </si>
  <si>
    <t>Dashboard: summary KPIs and requisition status. Purchase Requisitions: internal demand register. RFQ Register: supplier invitation and response tracking. Quotation Comparison: total cost and compliance checks. Supplier Evaluation: weighted scorecard. Award Recommendation: decision support. Lists: dropdown reference values.</t>
  </si>
  <si>
    <t>Calculation Assumptions</t>
  </si>
  <si>
    <t>Total quoted cost = unit price × quantity × (1 − discount) × (1 + VAT rate) + shipping. This is an illustrative calculation; confirm the appropriate tax treatment and whether shipping is taxable under the applicable policy before real use.</t>
  </si>
  <si>
    <t>Scoring Model</t>
  </si>
  <si>
    <t>Illustrative weights: price 50%, lead time 20%, quality 20%, payment terms 10%. A non-compliant quotation is not eligible regardless of its weighted score. Scores and weights should be approved and adapted to organizational policy.</t>
  </si>
  <si>
    <t>Sample Data</t>
  </si>
  <si>
    <t>All supplier names, people, purchase requests, prices, dates, and transactions are fictional examples created for demonstration. The data do not represent actual companies or market quotations.</t>
  </si>
  <si>
    <t>How to Extend</t>
  </si>
  <si>
    <t>Add new records beneath the existing Excel tables. Extend formulas and validation rules when adding rows beyond the prepared sample range. Keep Requisition IDs, RFQ IDs, and Supplier IDs unique and consistent.</t>
  </si>
  <si>
    <t>Important Limitation</t>
  </si>
  <si>
    <t>This workbook is a portfolio decision-support model, not an ERP system or an authorized procurement approval tool. The recommendation must be reviewed by the appropriate procurement and budget owners.</t>
  </si>
  <si>
    <t>Author</t>
  </si>
  <si>
    <t>Bandar Al Radhi</t>
  </si>
  <si>
    <t>Approved Requisitions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</si>
</sst>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SAR &quot;#,##0.00"/>
    <numFmt numFmtId="165" formatCode="yyyy\-mm\-dd"/>
    <numFmt numFmtId="166" formatCode="0.0"/>
  </numFmts>
  <fonts count="10" x14ac:knownFonts="1">
    <font>
      <sz val="11"/>
      <color theme="1"/>
      <name val="Calibri"/>
      <family val="2"/>
      <scheme val="minor"/>
    </font>
    <font>
      <b/>
      <sz val="16"/>
      <color rgb="FFFFFFFF"/>
      <name val="Arial"/>
    </font>
    <font>
      <i/>
      <sz val="10"/>
      <color rgb="FF666666"/>
      <name val="Arial"/>
    </font>
    <font>
      <b/>
      <sz val="11"/>
      <color rgb="FFFFFFFF"/>
      <name val="Calibri"/>
    </font>
    <font>
      <b/>
      <sz val="10"/>
      <color rgb="FFFFFFFF"/>
      <name val="Arial"/>
    </font>
    <font>
      <sz val="10"/>
      <color rgb="FF1F1F1F"/>
      <name val="Arial"/>
    </font>
    <font>
      <b/>
      <sz val="10"/>
      <color rgb="FFFFFFFF"/>
      <name val="Calibri"/>
    </font>
    <font>
      <b/>
      <sz val="18"/>
      <color rgb="FF17365D"/>
      <name val="Calibri"/>
    </font>
    <font>
      <sz val="10"/>
      <color rgb="FF1F1F1F"/>
      <name val="Calibri"/>
    </font>
    <font>
      <b/>
      <sz val="11"/>
      <color rgb="FF17365D"/>
      <name val="Calibri"/>
    </font>
  </fonts>
  <fills count="7">
    <fill>
      <patternFill patternType="none"/>
    </fill>
    <fill>
      <patternFill patternType="gray125"/>
    </fill>
    <fill>
      <patternFill patternType="solid">
        <fgColor rgb="FF17365D"/>
      </patternFill>
    </fill>
    <fill>
      <patternFill patternType="solid">
        <fgColor rgb="FF1F4E78"/>
      </patternFill>
    </fill>
    <fill>
      <patternFill patternType="solid">
        <fgColor rgb="FFF5F9FC"/>
      </patternFill>
    </fill>
    <fill>
      <patternFill patternType="solid">
        <fgColor rgb="FFEAF3F8"/>
      </patternFill>
    </fill>
    <fill>
      <patternFill patternType="solid">
        <fgColor rgb="FFD9EAF7"/>
      </patternFill>
    </fill>
  </fills>
  <borders count="4">
    <border>
      <left/>
      <right/>
      <top/>
      <bottom/>
      <diagonal/>
    </border>
    <border>
      <left style="thin">
        <color rgb="FFB7C9D6"/>
      </left>
      <right style="thin">
        <color rgb="FFB7C9D6"/>
      </right>
      <top style="thin">
        <color rgb="FFB7C9D6"/>
      </top>
      <bottom style="thin">
        <color rgb="FFB7C9D6"/>
      </bottom>
      <diagonal/>
    </border>
    <border>
      <left/>
      <right/>
      <top style="thin">
        <color rgb="FFB7C9D6"/>
      </top>
      <bottom style="thin">
        <color rgb="FFB7C9D6"/>
      </bottom>
      <diagonal/>
    </border>
    <border>
      <left/>
      <right style="thin">
        <color rgb="FFB7C9D6"/>
      </right>
      <top style="thin">
        <color rgb="FFB7C9D6"/>
      </top>
      <bottom style="thin">
        <color rgb="FFB7C9D6"/>
      </bottom>
      <diagonal/>
    </border>
  </borders>
  <cellStyleXfs count="1">
    <xf numFmtId="0" fontId="0" fillId="0" borderId="0"/>
  </cellStyleXfs>
  <cellXfs count="33">
    <xf numFmtId="0" fontId="0" fillId="0" borderId="0" xfId="0"/>
    <xf numFmtId="0" fontId="4" fillId="3" borderId="1" xfId="0" applyFont="1" applyFill="1" applyBorder="1" applyAlignment="1">
      <alignment horizontal="center" vertical="center" wrapText="1"/>
    </xf>
    <xf numFmtId="0" fontId="5" fillId="4" borderId="1" xfId="0" applyFont="1" applyFill="1" applyBorder="1" applyAlignment="1">
      <alignment vertical="center"/>
    </xf>
    <xf numFmtId="164" fontId="5" fillId="4" borderId="1" xfId="0" applyNumberFormat="1" applyFont="1" applyFill="1" applyBorder="1" applyAlignment="1">
      <alignment vertical="center"/>
    </xf>
    <xf numFmtId="0" fontId="5" fillId="0" borderId="1" xfId="0" applyFont="1" applyBorder="1" applyAlignment="1">
      <alignment vertical="center"/>
    </xf>
    <xf numFmtId="165" fontId="5" fillId="0" borderId="1" xfId="0" applyNumberFormat="1" applyFont="1" applyBorder="1" applyAlignment="1">
      <alignment vertical="center"/>
    </xf>
    <xf numFmtId="165" fontId="5" fillId="4" borderId="1" xfId="0" applyNumberFormat="1" applyFont="1" applyFill="1" applyBorder="1" applyAlignment="1">
      <alignment vertical="center"/>
    </xf>
    <xf numFmtId="0" fontId="3" fillId="3" borderId="1" xfId="0" applyFont="1" applyFill="1" applyBorder="1"/>
    <xf numFmtId="0" fontId="0" fillId="4" borderId="1" xfId="0" applyFill="1" applyBorder="1"/>
    <xf numFmtId="0" fontId="9" fillId="6" borderId="1" xfId="0" applyFont="1" applyFill="1" applyBorder="1"/>
    <xf numFmtId="0" fontId="4" fillId="3" borderId="1" xfId="0" applyFont="1" applyFill="1" applyBorder="1" applyAlignment="1">
      <alignment horizontal="left" vertical="center" wrapText="1"/>
    </xf>
    <xf numFmtId="0" fontId="5" fillId="0" borderId="1" xfId="0" applyFont="1" applyBorder="1" applyAlignment="1">
      <alignment horizontal="left" vertical="center"/>
    </xf>
    <xf numFmtId="164" fontId="5" fillId="0" borderId="1" xfId="0" applyNumberFormat="1" applyFont="1" applyBorder="1" applyAlignment="1">
      <alignment horizontal="left" vertical="center"/>
    </xf>
    <xf numFmtId="166" fontId="5" fillId="0" borderId="1" xfId="0" applyNumberFormat="1" applyFont="1" applyBorder="1" applyAlignment="1">
      <alignment horizontal="left" vertical="center"/>
    </xf>
    <xf numFmtId="0" fontId="5" fillId="4" borderId="1" xfId="0" applyFont="1" applyFill="1" applyBorder="1" applyAlignment="1">
      <alignment horizontal="left" vertical="center"/>
    </xf>
    <xf numFmtId="164" fontId="5" fillId="4" borderId="1" xfId="0" applyNumberFormat="1" applyFont="1" applyFill="1" applyBorder="1" applyAlignment="1">
      <alignment horizontal="left" vertical="center"/>
    </xf>
    <xf numFmtId="166" fontId="5" fillId="4" borderId="1" xfId="0" applyNumberFormat="1" applyFont="1" applyFill="1" applyBorder="1" applyAlignment="1">
      <alignment horizontal="left" vertical="center"/>
    </xf>
    <xf numFmtId="4" fontId="5" fillId="0" borderId="1" xfId="0" applyNumberFormat="1" applyFont="1" applyBorder="1" applyAlignment="1">
      <alignment horizontal="left" vertical="center"/>
    </xf>
    <xf numFmtId="165" fontId="5" fillId="0" borderId="1" xfId="0" applyNumberFormat="1" applyFont="1" applyBorder="1" applyAlignment="1">
      <alignment horizontal="left" vertical="center"/>
    </xf>
    <xf numFmtId="4" fontId="5" fillId="4" borderId="1" xfId="0" applyNumberFormat="1" applyFont="1" applyFill="1" applyBorder="1" applyAlignment="1">
      <alignment horizontal="left" vertical="center"/>
    </xf>
    <xf numFmtId="165" fontId="5" fillId="4" borderId="1" xfId="0" applyNumberFormat="1" applyFont="1" applyFill="1" applyBorder="1" applyAlignment="1">
      <alignment horizontal="left" vertical="center"/>
    </xf>
    <xf numFmtId="9" fontId="5" fillId="0" borderId="1" xfId="0" applyNumberFormat="1" applyFont="1" applyBorder="1" applyAlignment="1">
      <alignment horizontal="left" vertical="center"/>
    </xf>
    <xf numFmtId="9" fontId="5" fillId="4" borderId="1" xfId="0" applyNumberFormat="1" applyFont="1" applyFill="1" applyBorder="1" applyAlignment="1">
      <alignment horizontal="left" vertical="center"/>
    </xf>
    <xf numFmtId="0" fontId="8" fillId="0" borderId="0" xfId="0" applyFont="1" applyAlignment="1">
      <alignment vertical="center" wrapText="1"/>
    </xf>
    <xf numFmtId="0" fontId="0" fillId="0" borderId="0" xfId="0"/>
    <xf numFmtId="0" fontId="1" fillId="2" borderId="0" xfId="0" applyFont="1" applyFill="1" applyAlignment="1">
      <alignment horizontal="left" vertical="center"/>
    </xf>
    <xf numFmtId="0" fontId="2" fillId="0" borderId="0" xfId="0" applyFont="1" applyAlignment="1">
      <alignment vertical="center" wrapText="1"/>
    </xf>
    <xf numFmtId="0" fontId="6" fillId="3" borderId="0" xfId="0" applyFont="1" applyFill="1" applyAlignment="1">
      <alignment horizontal="center" vertical="center" wrapText="1"/>
    </xf>
    <xf numFmtId="0" fontId="7" fillId="5" borderId="0" xfId="0" applyFont="1" applyFill="1" applyAlignment="1">
      <alignment horizontal="center" vertical="center"/>
    </xf>
    <xf numFmtId="0" fontId="3" fillId="3" borderId="0" xfId="0" applyFont="1" applyFill="1"/>
    <xf numFmtId="0" fontId="0" fillId="0" borderId="1" xfId="0" applyBorder="1" applyAlignment="1">
      <alignment vertical="top" wrapText="1"/>
    </xf>
    <xf numFmtId="0" fontId="0" fillId="0" borderId="2" xfId="0" applyBorder="1"/>
    <xf numFmtId="0" fontId="0" fillId="0" borderId="3" xfId="0" applyBorder="1"/>
  </cellXfs>
  <cellStyles count="1">
    <cellStyle name="Normal" xfId="0" builtinId="0"/>
  </cellStyles>
  <dxfs count="52">
    <dxf>
      <numFmt numFmtId="0" formatCode="General"/>
      <alignment horizontal="left" vertical="center"/>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fill>
        <patternFill patternType="solid">
          <fgColor rgb="FFFFF2CC"/>
        </patternFill>
      </fill>
    </dxf>
    <dxf>
      <fill>
        <patternFill patternType="solid">
          <fgColor rgb="FFE2F0D9"/>
        </patternFill>
      </fill>
    </dxf>
    <dxf>
      <fill>
        <patternFill patternType="solid">
          <fgColor rgb="FFFCE4D6"/>
        </patternFill>
      </fill>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numFmt numFmtId="166" formatCode="0.0"/>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wrapText="1"/>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
      <alignment horizontal="left" vertical="cent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FQTable" displayName="RFQTable" ref="A4:L16">
  <autoFilter ref="A4:L16" xr:uid="{00000000-0009-0000-0100-000001000000}"/>
  <tableColumns count="12">
    <tableColumn id="1" xr3:uid="{00000000-0010-0000-0000-000001000000}" name="RFQ ID"/>
    <tableColumn id="2" xr3:uid="{00000000-0010-0000-0000-000002000000}" name="Requisition ID"/>
    <tableColumn id="3" xr3:uid="{00000000-0010-0000-0000-000003000000}" name="Supplier ID"/>
    <tableColumn id="4" xr3:uid="{00000000-0010-0000-0000-000004000000}" name="Supplier Name"/>
    <tableColumn id="5" xr3:uid="{00000000-0010-0000-0000-000005000000}" name="RFQ Sent Date"/>
    <tableColumn id="6" xr3:uid="{00000000-0010-0000-0000-000006000000}" name="Response Due Date"/>
    <tableColumn id="7" xr3:uid="{00000000-0010-0000-0000-000007000000}" name="Supplier Response"/>
    <tableColumn id="8" xr3:uid="{00000000-0010-0000-0000-000008000000}" name="Quotation Received Date"/>
    <tableColumn id="9" xr3:uid="{00000000-0010-0000-0000-000009000000}" name="Quoted Valid Until"/>
    <tableColumn id="10" xr3:uid="{00000000-0010-0000-0000-00000A000000}" name="RFQ Status"/>
    <tableColumn id="11" xr3:uid="{00000000-0010-0000-0000-00000B000000}" name="Follow-up Owner"/>
    <tableColumn id="12" xr3:uid="{00000000-0010-0000-0000-00000C000000}" name="Follow-up 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QuotationTable" displayName="QuotationTable" ref="A4:Q14" dataDxfId="51">
  <autoFilter ref="A4:Q14" xr:uid="{00000000-0009-0000-0100-000002000000}"/>
  <tableColumns count="17">
    <tableColumn id="1" xr3:uid="{00000000-0010-0000-0100-000001000000}" name="RFQ ID" dataDxfId="50"/>
    <tableColumn id="2" xr3:uid="{00000000-0010-0000-0100-000002000000}" name="Requisition ID" dataDxfId="49"/>
    <tableColumn id="3" xr3:uid="{00000000-0010-0000-0100-000003000000}" name="Supplier ID" dataDxfId="48"/>
    <tableColumn id="4" xr3:uid="{00000000-0010-0000-0100-000004000000}" name="Supplier Name" dataDxfId="47"/>
    <tableColumn id="5" xr3:uid="{00000000-0010-0000-0100-000005000000}" name="Quoted Unit Price (SAR)" dataDxfId="46"/>
    <tableColumn id="6" xr3:uid="{00000000-0010-0000-0100-000006000000}" name="Quantity" dataDxfId="45"/>
    <tableColumn id="7" xr3:uid="{00000000-0010-0000-0100-000007000000}" name="Discount (%)" dataDxfId="44"/>
    <tableColumn id="8" xr3:uid="{00000000-0010-0000-0100-000008000000}" name="Shipping (SAR)" dataDxfId="43"/>
    <tableColumn id="9" xr3:uid="{00000000-0010-0000-0100-000009000000}" name="VAT Rate (%)" dataDxfId="42"/>
    <tableColumn id="10" xr3:uid="{00000000-0010-0000-0100-00000A000000}" name="Total Quoted Cost (SAR)" dataDxfId="41"/>
    <tableColumn id="11" xr3:uid="{00000000-0010-0000-0100-00000B000000}" name="Lead Time (Days)" dataDxfId="40"/>
    <tableColumn id="12" xr3:uid="{00000000-0010-0000-0100-00000C000000}" name="Payment Terms (Days)" dataDxfId="39"/>
    <tableColumn id="13" xr3:uid="{00000000-0010-0000-0100-00000D000000}" name="Specification Compliant?" dataDxfId="38"/>
    <tableColumn id="14" xr3:uid="{00000000-0010-0000-0100-00000E000000}" name="Warranty (Months)" dataDxfId="37"/>
    <tableColumn id="15" xr3:uid="{00000000-0010-0000-0100-00000F000000}" name="Quotation Valid?" dataDxfId="36"/>
    <tableColumn id="16" xr3:uid="{00000000-0010-0000-0100-000010000000}" name="Price Rank" dataDxfId="35"/>
    <tableColumn id="17" xr3:uid="{00000000-0010-0000-0100-000011000000}" name="Evaluation Status" dataDxfId="3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SupplierEvalTable" displayName="SupplierEvalTable" ref="A4:L14" headerRowDxfId="33" dataDxfId="32">
  <autoFilter ref="A4:L14" xr:uid="{00000000-0009-0000-0100-000003000000}"/>
  <tableColumns count="12">
    <tableColumn id="1" xr3:uid="{00000000-0010-0000-0200-000001000000}" name="Requisition ID" dataDxfId="31"/>
    <tableColumn id="2" xr3:uid="{00000000-0010-0000-0200-000002000000}" name="Supplier ID" dataDxfId="30"/>
    <tableColumn id="3" xr3:uid="{00000000-0010-0000-0200-000003000000}" name="Supplier Name" dataDxfId="29"/>
    <tableColumn id="4" xr3:uid="{00000000-0010-0000-0200-000004000000}" name="Total Quoted Cost (SAR)" dataDxfId="28"/>
    <tableColumn id="5" xr3:uid="{00000000-0010-0000-0200-000005000000}" name="Price Score (0-100)" dataDxfId="27">
      <calculatedColumnFormula>IF(K5&lt;&gt;"Yes","",IFERROR(MIN(100,_xlfn.MINIFS('Quotation Comparison'!$J$5:$J$100,'Quotation Comparison'!$B$5:$B$100,A5,'Quotation Comparison'!$M$5:$M$100,"Yes",'Quotation Comparison'!$Q$5:$Q$100,"Eligible")/D5*100),""))</calculatedColumnFormula>
    </tableColumn>
    <tableColumn id="6" xr3:uid="{00000000-0010-0000-0200-000006000000}" name="Lead Time (Days)" dataDxfId="26"/>
    <tableColumn id="7" xr3:uid="{00000000-0010-0000-0200-000007000000}" name="Lead Time Score (0-100)" dataDxfId="25">
      <calculatedColumnFormula>IF(K5&lt;&gt;"Yes","",IFERROR(MIN(100,_xlfn.MINIFS('Quotation Comparison'!$K$5:$K$100,'Quotation Comparison'!$B$5:$B$100,A5,'Quotation Comparison'!$M$5:$M$100,"Yes",'Quotation Comparison'!$Q$5:$Q$100,"Eligible")/F5*100),""))</calculatedColumnFormula>
    </tableColumn>
    <tableColumn id="8" xr3:uid="{00000000-0010-0000-0200-000008000000}" name="Quality Score (0-100)" dataDxfId="24"/>
    <tableColumn id="9" xr3:uid="{00000000-0010-0000-0200-000009000000}" name="Payment Terms Score (0-100)" dataDxfId="23"/>
    <tableColumn id="10" xr3:uid="{00000000-0010-0000-0200-00000A000000}" name="Weighted Score" dataDxfId="22">
      <calculatedColumnFormula>IF(K5&lt;&gt;"Yes","",IF(COUNT(E5,G5,H5,I5)&lt;4,"",E5*30%+G5*25%+H5*25%+I5*20%))</calculatedColumnFormula>
    </tableColumn>
    <tableColumn id="11" xr3:uid="{00000000-0010-0000-0200-00000B000000}" name="Compliance Gate" dataDxfId="21"/>
    <tableColumn id="12" xr3:uid="{00000000-0010-0000-0200-00000C000000}" name="Recommendation" dataDxfId="20"/>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AwardTable" displayName="AwardTable" ref="A4:H8" headerRowDxfId="19" dataDxfId="18" totalsRowDxfId="17">
  <autoFilter ref="A4:H8" xr:uid="{00000000-0009-0000-0100-000004000000}"/>
  <tableColumns count="8">
    <tableColumn id="1" xr3:uid="{00000000-0010-0000-0300-000001000000}" name="Requisition ID" dataDxfId="16"/>
    <tableColumn id="2" xr3:uid="{00000000-0010-0000-0300-000002000000}" name="Item / Service Description" dataDxfId="15"/>
    <tableColumn id="3" xr3:uid="{00000000-0010-0000-0300-000003000000}" name="Recommended Supplier" dataDxfId="0">
      <calculatedColumnFormula>IFERROR(INDEX('Supplier Evaluation'!$C$5:$C$100,MATCH(1,INDEX(('Supplier Evaluation'!$A$5:$A$100=A5)*('Supplier Evaluation'!$K$5:$K$100="Yes")*('Supplier Evaluation'!$J$5:$J$100=_xlfn.MAXIFS('Supplier Evaluation'!$J$5:$J$100,'Supplier Evaluation'!$A$5:$A$100,A5,'Supplier Evaluation'!$K$5:$K$100,"Yes")),0),0)),"Review Required")</calculatedColumnFormula>
    </tableColumn>
    <tableColumn id="4" xr3:uid="{00000000-0010-0000-0300-000004000000}" name="Recommended Total Cost (SAR)" dataDxfId="14"/>
    <tableColumn id="5" xr3:uid="{00000000-0010-0000-0300-000005000000}" name="Lowest Compliant Cost (SAR)" dataDxfId="13">
      <calculatedColumnFormula>IFERROR(_xlfn.MINIFS('Quotation Comparison'!$J$5:$J$100,'Quotation Comparison'!$B$5:$B$100,A5,'Quotation Comparison'!$M$5:$M$100,"Yes",'Quotation Comparison'!$Q$5:$Q$100,"Eligible"),"")</calculatedColumnFormula>
    </tableColumn>
    <tableColumn id="6" xr3:uid="{00000000-0010-0000-0300-000006000000}" name="Potential Cost Difference (SAR)" dataDxfId="12"/>
    <tableColumn id="7" xr3:uid="{00000000-0010-0000-0300-000007000000}" name="Recommendation Rationale" dataDxfId="11"/>
    <tableColumn id="8" xr3:uid="{00000000-0010-0000-0300-000008000000}" name="Approval Status"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A6A6"/>
    <pageSetUpPr fitToPage="1"/>
  </sheetPr>
  <dimension ref="A1:H22"/>
  <sheetViews>
    <sheetView showGridLines="0" zoomScale="85" workbookViewId="0">
      <pane ySplit="8" topLeftCell="A9" activePane="bottomLeft" state="frozen"/>
      <selection pane="bottomLeft" activeCell="J5" sqref="J5"/>
    </sheetView>
  </sheetViews>
  <sheetFormatPr defaultRowHeight="15" x14ac:dyDescent="0.25"/>
  <cols>
    <col min="1" max="1" width="20" customWidth="1"/>
    <col min="2" max="2" width="30" customWidth="1"/>
    <col min="3" max="4" width="18" customWidth="1"/>
    <col min="5" max="5" width="25" customWidth="1"/>
    <col min="6" max="6" width="29" customWidth="1"/>
    <col min="7" max="7" width="22" customWidth="1"/>
    <col min="8" max="8" width="18" customWidth="1"/>
  </cols>
  <sheetData>
    <row r="1" spans="1:8" ht="30" customHeight="1" x14ac:dyDescent="0.25">
      <c r="A1" s="25" t="s">
        <v>0</v>
      </c>
      <c r="B1" s="24"/>
      <c r="C1" s="24"/>
      <c r="D1" s="24"/>
      <c r="E1" s="24"/>
      <c r="F1" s="24"/>
      <c r="G1" s="24"/>
      <c r="H1" s="24"/>
    </row>
    <row r="2" spans="1:8" ht="27" customHeight="1" x14ac:dyDescent="0.25">
      <c r="A2" s="26" t="s">
        <v>1</v>
      </c>
      <c r="B2" s="24"/>
      <c r="C2" s="24"/>
      <c r="D2" s="24"/>
      <c r="E2" s="24"/>
      <c r="F2" s="24"/>
      <c r="G2" s="24"/>
      <c r="H2" s="24"/>
    </row>
    <row r="4" spans="1:8" x14ac:dyDescent="0.25">
      <c r="A4" s="27" t="s">
        <v>2</v>
      </c>
      <c r="B4" s="24"/>
      <c r="C4" s="27" t="s">
        <v>3</v>
      </c>
      <c r="D4" s="24"/>
      <c r="E4" s="27" t="s">
        <v>4</v>
      </c>
      <c r="F4" s="24"/>
      <c r="G4" s="27" t="s">
        <v>248</v>
      </c>
      <c r="H4" s="24"/>
    </row>
    <row r="5" spans="1:8" x14ac:dyDescent="0.25">
      <c r="A5" s="28">
        <f>COUNTA('RFQ Register'!A5:A100)</f>
        <v>12</v>
      </c>
      <c r="B5" s="24"/>
      <c r="C5" s="28">
        <f>COUNTIF('RFQ Register'!G5:G100,"Received")</f>
        <v>10</v>
      </c>
      <c r="D5" s="24"/>
      <c r="E5" s="28">
        <f>COUNTIF('Quotation Comparison'!M5:M100,"Yes")</f>
        <v>8</v>
      </c>
      <c r="F5" s="24"/>
      <c r="G5" s="28">
        <f>COUNTIF('Purchase Requisitions'!L5:L100,"Approved")</f>
        <v>6</v>
      </c>
      <c r="H5" s="24"/>
    </row>
    <row r="6" spans="1:8" x14ac:dyDescent="0.25">
      <c r="A6" s="24"/>
      <c r="B6" s="24"/>
      <c r="C6" s="24"/>
      <c r="D6" s="24"/>
      <c r="E6" s="24"/>
      <c r="F6" s="24"/>
      <c r="G6" s="24"/>
      <c r="H6" s="24"/>
    </row>
    <row r="9" spans="1:8" ht="33.950000000000003" customHeight="1" x14ac:dyDescent="0.25">
      <c r="A9" s="1" t="s">
        <v>5</v>
      </c>
      <c r="B9" s="1" t="s">
        <v>6</v>
      </c>
      <c r="C9" s="1" t="s">
        <v>7</v>
      </c>
      <c r="D9" s="1" t="s">
        <v>8</v>
      </c>
      <c r="E9" s="1" t="s">
        <v>9</v>
      </c>
      <c r="F9" s="1" t="s">
        <v>10</v>
      </c>
      <c r="G9" s="1" t="s">
        <v>11</v>
      </c>
    </row>
    <row r="10" spans="1:8" x14ac:dyDescent="0.25">
      <c r="A10" s="2" t="s">
        <v>12</v>
      </c>
      <c r="B10" s="2" t="s">
        <v>13</v>
      </c>
      <c r="C10" s="2">
        <f>COUNTIF('RFQ Register'!$B$5:$B$100,A10)</f>
        <v>3</v>
      </c>
      <c r="D10" s="2">
        <f>COUNTIFS('Quotation Comparison'!$B$5:$B$100,A10,'Quotation Comparison'!$M$5:$M$100,"Yes")</f>
        <v>2</v>
      </c>
      <c r="E10" s="3">
        <f ca="1">IFERROR(_xlfn.MINIFS('Quotation Comparison'!$J$5:$J$100,'Quotation Comparison'!$B$5:$B$100,A10,'Quotation Comparison'!$M$5:$M$100,"Yes",'Quotation Comparison'!$Q$5:$Q$100,"Eligible"),"")</f>
        <v>4895.7</v>
      </c>
      <c r="F10" s="2" t="str">
        <f ca="1">IFERROR(INDEX('Award Recommendation'!$C$5:$C$20,MATCH(A10,'Award Recommendation'!$A$5:$A$20,0)),"Review Required")</f>
        <v>Eastern Safety Trading</v>
      </c>
      <c r="G10" s="2" t="str">
        <f>IF(C10=0,"No Quotes",IF(D10=0,"Review Required","Evaluation Available"))</f>
        <v>Evaluation Available</v>
      </c>
    </row>
    <row r="11" spans="1:8" x14ac:dyDescent="0.25">
      <c r="A11" s="4" t="s">
        <v>14</v>
      </c>
      <c r="B11" s="4" t="s">
        <v>15</v>
      </c>
      <c r="C11" s="4">
        <f>COUNTIF('RFQ Register'!$B$5:$B$100,A11)</f>
        <v>3</v>
      </c>
      <c r="D11" s="4">
        <f>COUNTIFS('Quotation Comparison'!$B$5:$B$100,A11,'Quotation Comparison'!$M$5:$M$100,"Yes")</f>
        <v>2</v>
      </c>
      <c r="E11" s="3">
        <f ca="1">IFERROR(_xlfn.MINIFS('Quotation Comparison'!$J$5:$J$100,'Quotation Comparison'!$B$5:$B$100,A11,'Quotation Comparison'!$M$5:$M$100,"Yes",'Quotation Comparison'!$Q$5:$Q$100,"Eligible"),"")</f>
        <v>16668.599999999999</v>
      </c>
      <c r="F11" s="4" t="str">
        <f ca="1">IFERROR(INDEX('Award Recommendation'!$C$5:$C$20,MATCH(A11,'Award Recommendation'!$A$5:$A$20,0)),"Review Required")</f>
        <v>BrightTech Electrical</v>
      </c>
      <c r="G11" s="4" t="str">
        <f>IF(C11=0,"No Quotes",IF(D11=0,"Review Required","Evaluation Available"))</f>
        <v>Evaluation Available</v>
      </c>
    </row>
    <row r="12" spans="1:8" x14ac:dyDescent="0.25">
      <c r="A12" s="2" t="s">
        <v>16</v>
      </c>
      <c r="B12" s="2" t="s">
        <v>17</v>
      </c>
      <c r="C12" s="2">
        <f>COUNTIF('RFQ Register'!$B$5:$B$100,A12)</f>
        <v>3</v>
      </c>
      <c r="D12" s="2">
        <f>COUNTIFS('Quotation Comparison'!$B$5:$B$100,A12,'Quotation Comparison'!$M$5:$M$100,"Yes")</f>
        <v>2</v>
      </c>
      <c r="E12" s="3">
        <f ca="1">IFERROR(_xlfn.MINIFS('Quotation Comparison'!$J$5:$J$100,'Quotation Comparison'!$B$5:$B$100,A12,'Quotation Comparison'!$M$5:$M$100,"Yes",'Quotation Comparison'!$Q$5:$Q$100,"Eligible"),"")</f>
        <v>8715</v>
      </c>
      <c r="F12" s="2" t="str">
        <f ca="1">IFERROR(INDEX('Award Recommendation'!$C$5:$C$20,MATCH(A12,'Award Recommendation'!$A$5:$A$20,0)),"Review Required")</f>
        <v>ScanPro Systems</v>
      </c>
      <c r="G12" s="2" t="str">
        <f>IF(C12=0,"No Quotes",IF(D12=0,"Review Required","Evaluation Available"))</f>
        <v>Evaluation Available</v>
      </c>
    </row>
    <row r="13" spans="1:8" x14ac:dyDescent="0.25">
      <c r="A13" s="4" t="s">
        <v>18</v>
      </c>
      <c r="B13" s="4" t="s">
        <v>19</v>
      </c>
      <c r="C13" s="4">
        <f>COUNTIF('RFQ Register'!$B$5:$B$100,A13)</f>
        <v>3</v>
      </c>
      <c r="D13" s="4">
        <f>COUNTIFS('Quotation Comparison'!$B$5:$B$100,A13,'Quotation Comparison'!$M$5:$M$100,"Yes")</f>
        <v>2</v>
      </c>
      <c r="E13" s="3">
        <f ca="1">IFERROR(_xlfn.MINIFS('Quotation Comparison'!$J$5:$J$100,'Quotation Comparison'!$B$5:$B$100,A13,'Quotation Comparison'!$M$5:$M$100,"Yes",'Quotation Comparison'!$Q$5:$Q$100,"Eligible"),"")</f>
        <v>3730.8</v>
      </c>
      <c r="F13" s="4" t="str">
        <f ca="1">IFERROR(INDEX('Award Recommendation'!$C$5:$C$20,MATCH(A13,'Award Recommendation'!$A$5:$A$20,0)),"Review Required")</f>
        <v>Gulf Industrial Supply</v>
      </c>
      <c r="G13" s="4" t="str">
        <f>IF(C13=0,"No Quotes",IF(D13=0,"Review Required","Evaluation Available"))</f>
        <v>Evaluation Available</v>
      </c>
    </row>
    <row r="16" spans="1:8" x14ac:dyDescent="0.25">
      <c r="A16" s="29" t="s">
        <v>20</v>
      </c>
      <c r="B16" s="24"/>
      <c r="C16" s="24"/>
      <c r="D16" s="24"/>
      <c r="E16" s="24"/>
      <c r="F16" s="24"/>
      <c r="G16" s="24"/>
      <c r="H16" s="24"/>
    </row>
    <row r="17" spans="1:8" ht="21.95" customHeight="1" x14ac:dyDescent="0.25">
      <c r="A17" s="23" t="s">
        <v>21</v>
      </c>
      <c r="B17" s="24"/>
      <c r="C17" s="24"/>
      <c r="D17" s="24"/>
      <c r="E17" s="24"/>
      <c r="F17" s="24"/>
      <c r="G17" s="24"/>
      <c r="H17" s="24"/>
    </row>
    <row r="18" spans="1:8" ht="21.95" customHeight="1" x14ac:dyDescent="0.25">
      <c r="A18" s="23" t="s">
        <v>22</v>
      </c>
      <c r="B18" s="24"/>
      <c r="C18" s="24"/>
      <c r="D18" s="24"/>
      <c r="E18" s="24"/>
      <c r="F18" s="24"/>
      <c r="G18" s="24"/>
      <c r="H18" s="24"/>
    </row>
    <row r="19" spans="1:8" ht="21.95" customHeight="1" x14ac:dyDescent="0.25">
      <c r="A19" s="23" t="s">
        <v>23</v>
      </c>
      <c r="B19" s="24"/>
      <c r="C19" s="24"/>
      <c r="D19" s="24"/>
      <c r="E19" s="24"/>
      <c r="F19" s="24"/>
      <c r="G19" s="24"/>
      <c r="H19" s="24"/>
    </row>
    <row r="20" spans="1:8" ht="21.95" customHeight="1" x14ac:dyDescent="0.25">
      <c r="A20" s="23" t="s">
        <v>24</v>
      </c>
      <c r="B20" s="24"/>
      <c r="C20" s="24"/>
      <c r="D20" s="24"/>
      <c r="E20" s="24"/>
      <c r="F20" s="24"/>
      <c r="G20" s="24"/>
      <c r="H20" s="24"/>
    </row>
    <row r="21" spans="1:8" ht="21.95" customHeight="1" x14ac:dyDescent="0.25">
      <c r="A21" s="23" t="s">
        <v>25</v>
      </c>
      <c r="B21" s="24"/>
      <c r="C21" s="24"/>
      <c r="D21" s="24"/>
      <c r="E21" s="24"/>
      <c r="F21" s="24"/>
      <c r="G21" s="24"/>
      <c r="H21" s="24"/>
    </row>
    <row r="22" spans="1:8" ht="21.95" customHeight="1" x14ac:dyDescent="0.25">
      <c r="A22" s="23" t="s">
        <v>26</v>
      </c>
      <c r="B22" s="24"/>
      <c r="C22" s="24"/>
      <c r="D22" s="24"/>
      <c r="E22" s="24"/>
      <c r="F22" s="24"/>
      <c r="G22" s="24"/>
      <c r="H22" s="24"/>
    </row>
  </sheetData>
  <mergeCells count="17">
    <mergeCell ref="A16:H16"/>
    <mergeCell ref="A19:H19"/>
    <mergeCell ref="A1:H1"/>
    <mergeCell ref="A22:H22"/>
    <mergeCell ref="A17:H17"/>
    <mergeCell ref="A2:H2"/>
    <mergeCell ref="C4:D4"/>
    <mergeCell ref="C5:D6"/>
    <mergeCell ref="A5:B6"/>
    <mergeCell ref="G5:H6"/>
    <mergeCell ref="E5:F6"/>
    <mergeCell ref="A4:B4"/>
    <mergeCell ref="G4:H4"/>
    <mergeCell ref="E4:F4"/>
    <mergeCell ref="A18:H18"/>
    <mergeCell ref="A21:H21"/>
    <mergeCell ref="A20:H20"/>
  </mergeCells>
  <pageMargins left="0.25" right="0.25" top="0.5" bottom="0.5" header="0.5" footer="0.5"/>
  <pageSetup fitToHeight="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F4E78"/>
    <pageSetUpPr fitToPage="1"/>
  </sheetPr>
  <dimension ref="A1:N12"/>
  <sheetViews>
    <sheetView showGridLines="0" topLeftCell="B1" zoomScale="85" workbookViewId="0">
      <pane ySplit="4" topLeftCell="A5" activePane="bottomLeft" state="frozen"/>
      <selection pane="bottomLeft" activeCell="G14" sqref="G14"/>
    </sheetView>
  </sheetViews>
  <sheetFormatPr defaultRowHeight="15" x14ac:dyDescent="0.25"/>
  <cols>
    <col min="1" max="2" width="17.85546875" customWidth="1"/>
    <col min="3" max="3" width="16.42578125" customWidth="1"/>
    <col min="4" max="4" width="17" customWidth="1"/>
    <col min="5" max="5" width="27.85546875" customWidth="1"/>
    <col min="6" max="6" width="19" customWidth="1"/>
    <col min="7" max="7" width="46.28515625" customWidth="1"/>
    <col min="8" max="9" width="12" customWidth="1"/>
    <col min="10" max="10" width="16" customWidth="1"/>
    <col min="11" max="11" width="13" customWidth="1"/>
    <col min="12" max="12" width="19" customWidth="1"/>
    <col min="13" max="13" width="16" customWidth="1"/>
    <col min="14" max="14" width="31" customWidth="1"/>
  </cols>
  <sheetData>
    <row r="1" spans="1:14" ht="30" customHeight="1" x14ac:dyDescent="0.25">
      <c r="A1" s="25" t="s">
        <v>27</v>
      </c>
      <c r="B1" s="24"/>
      <c r="C1" s="24"/>
      <c r="D1" s="24"/>
      <c r="E1" s="24"/>
      <c r="F1" s="24"/>
      <c r="G1" s="24"/>
      <c r="H1" s="24"/>
      <c r="I1" s="24"/>
      <c r="J1" s="24"/>
      <c r="K1" s="24"/>
      <c r="L1" s="24"/>
      <c r="M1" s="24"/>
      <c r="N1" s="24"/>
    </row>
    <row r="2" spans="1:14" ht="27" customHeight="1" x14ac:dyDescent="0.25">
      <c r="A2" s="26" t="s">
        <v>28</v>
      </c>
      <c r="B2" s="24"/>
      <c r="C2" s="24"/>
      <c r="D2" s="24"/>
      <c r="E2" s="24"/>
      <c r="F2" s="24"/>
      <c r="G2" s="24"/>
      <c r="H2" s="24"/>
      <c r="I2" s="24"/>
      <c r="J2" s="24"/>
      <c r="K2" s="24"/>
      <c r="L2" s="24"/>
      <c r="M2" s="24"/>
      <c r="N2" s="24"/>
    </row>
    <row r="4" spans="1:14" ht="33.950000000000003" customHeight="1" x14ac:dyDescent="0.25">
      <c r="A4" s="10" t="s">
        <v>5</v>
      </c>
      <c r="B4" s="10" t="s">
        <v>29</v>
      </c>
      <c r="C4" s="10" t="s">
        <v>30</v>
      </c>
      <c r="D4" s="10" t="s">
        <v>31</v>
      </c>
      <c r="E4" s="10" t="s">
        <v>32</v>
      </c>
      <c r="F4" s="10" t="s">
        <v>33</v>
      </c>
      <c r="G4" s="10" t="s">
        <v>34</v>
      </c>
      <c r="H4" s="10" t="s">
        <v>35</v>
      </c>
      <c r="I4" s="10" t="s">
        <v>36</v>
      </c>
      <c r="J4" s="10" t="s">
        <v>37</v>
      </c>
      <c r="K4" s="10" t="s">
        <v>38</v>
      </c>
      <c r="L4" s="10" t="s">
        <v>39</v>
      </c>
      <c r="M4" s="10" t="s">
        <v>40</v>
      </c>
      <c r="N4" s="10" t="s">
        <v>41</v>
      </c>
    </row>
    <row r="5" spans="1:14" x14ac:dyDescent="0.25">
      <c r="A5" s="4" t="s">
        <v>12</v>
      </c>
      <c r="B5" s="5" t="s">
        <v>42</v>
      </c>
      <c r="C5" s="4" t="s">
        <v>43</v>
      </c>
      <c r="D5" s="4" t="s">
        <v>44</v>
      </c>
      <c r="E5" s="11" t="s">
        <v>13</v>
      </c>
      <c r="F5" s="11" t="s">
        <v>45</v>
      </c>
      <c r="G5" s="11" t="s">
        <v>46</v>
      </c>
      <c r="H5" s="17">
        <v>240</v>
      </c>
      <c r="I5" s="11" t="s">
        <v>47</v>
      </c>
      <c r="J5" s="18" t="s">
        <v>48</v>
      </c>
      <c r="K5" s="11" t="s">
        <v>49</v>
      </c>
      <c r="L5" s="11" t="s">
        <v>50</v>
      </c>
      <c r="M5" s="11" t="s">
        <v>51</v>
      </c>
      <c r="N5" s="11" t="s">
        <v>52</v>
      </c>
    </row>
    <row r="6" spans="1:14" x14ac:dyDescent="0.25">
      <c r="A6" s="2" t="s">
        <v>14</v>
      </c>
      <c r="B6" s="6" t="s">
        <v>53</v>
      </c>
      <c r="C6" s="2" t="s">
        <v>54</v>
      </c>
      <c r="D6" s="2" t="s">
        <v>55</v>
      </c>
      <c r="E6" s="14" t="s">
        <v>15</v>
      </c>
      <c r="F6" s="14" t="s">
        <v>56</v>
      </c>
      <c r="G6" s="14" t="s">
        <v>57</v>
      </c>
      <c r="H6" s="19">
        <v>36</v>
      </c>
      <c r="I6" s="14" t="s">
        <v>58</v>
      </c>
      <c r="J6" s="20" t="s">
        <v>59</v>
      </c>
      <c r="K6" s="14" t="s">
        <v>60</v>
      </c>
      <c r="L6" s="14" t="s">
        <v>50</v>
      </c>
      <c r="M6" s="14" t="s">
        <v>61</v>
      </c>
      <c r="N6" s="14" t="s">
        <v>62</v>
      </c>
    </row>
    <row r="7" spans="1:14" x14ac:dyDescent="0.25">
      <c r="A7" s="4" t="s">
        <v>16</v>
      </c>
      <c r="B7" s="5" t="s">
        <v>63</v>
      </c>
      <c r="C7" s="4" t="s">
        <v>64</v>
      </c>
      <c r="D7" s="4" t="s">
        <v>65</v>
      </c>
      <c r="E7" s="11" t="s">
        <v>17</v>
      </c>
      <c r="F7" s="11" t="s">
        <v>66</v>
      </c>
      <c r="G7" s="11" t="s">
        <v>67</v>
      </c>
      <c r="H7" s="17">
        <v>12</v>
      </c>
      <c r="I7" s="11" t="s">
        <v>58</v>
      </c>
      <c r="J7" s="18" t="s">
        <v>68</v>
      </c>
      <c r="K7" s="11" t="s">
        <v>49</v>
      </c>
      <c r="L7" s="11" t="s">
        <v>50</v>
      </c>
      <c r="M7" s="11" t="s">
        <v>69</v>
      </c>
      <c r="N7" s="11" t="s">
        <v>70</v>
      </c>
    </row>
    <row r="8" spans="1:14" x14ac:dyDescent="0.25">
      <c r="A8" s="2" t="s">
        <v>71</v>
      </c>
      <c r="B8" s="6" t="s">
        <v>72</v>
      </c>
      <c r="C8" s="2" t="s">
        <v>73</v>
      </c>
      <c r="D8" s="2" t="s">
        <v>74</v>
      </c>
      <c r="E8" s="14" t="s">
        <v>75</v>
      </c>
      <c r="F8" s="14" t="s">
        <v>76</v>
      </c>
      <c r="G8" s="14" t="s">
        <v>77</v>
      </c>
      <c r="H8" s="19">
        <v>180</v>
      </c>
      <c r="I8" s="14" t="s">
        <v>78</v>
      </c>
      <c r="J8" s="20" t="s">
        <v>79</v>
      </c>
      <c r="K8" s="14" t="s">
        <v>60</v>
      </c>
      <c r="L8" s="14" t="s">
        <v>80</v>
      </c>
      <c r="M8" s="14" t="s">
        <v>81</v>
      </c>
      <c r="N8" s="14" t="s">
        <v>82</v>
      </c>
    </row>
    <row r="9" spans="1:14" x14ac:dyDescent="0.25">
      <c r="A9" s="4" t="s">
        <v>18</v>
      </c>
      <c r="B9" s="5" t="s">
        <v>83</v>
      </c>
      <c r="C9" s="4" t="s">
        <v>43</v>
      </c>
      <c r="D9" s="4" t="s">
        <v>44</v>
      </c>
      <c r="E9" s="11" t="s">
        <v>19</v>
      </c>
      <c r="F9" s="11" t="s">
        <v>84</v>
      </c>
      <c r="G9" s="11" t="s">
        <v>85</v>
      </c>
      <c r="H9" s="17">
        <v>80</v>
      </c>
      <c r="I9" s="11" t="s">
        <v>58</v>
      </c>
      <c r="J9" s="18" t="s">
        <v>86</v>
      </c>
      <c r="K9" s="11" t="s">
        <v>87</v>
      </c>
      <c r="L9" s="11" t="s">
        <v>50</v>
      </c>
      <c r="M9" s="11" t="s">
        <v>88</v>
      </c>
      <c r="N9" s="11" t="s">
        <v>89</v>
      </c>
    </row>
    <row r="10" spans="1:14" x14ac:dyDescent="0.25">
      <c r="A10" s="2" t="s">
        <v>90</v>
      </c>
      <c r="B10" s="6" t="s">
        <v>91</v>
      </c>
      <c r="C10" s="2" t="s">
        <v>54</v>
      </c>
      <c r="D10" s="2" t="s">
        <v>55</v>
      </c>
      <c r="E10" s="14" t="s">
        <v>92</v>
      </c>
      <c r="F10" s="14" t="s">
        <v>93</v>
      </c>
      <c r="G10" s="14" t="s">
        <v>94</v>
      </c>
      <c r="H10" s="19">
        <v>60</v>
      </c>
      <c r="I10" s="14" t="s">
        <v>95</v>
      </c>
      <c r="J10" s="20" t="s">
        <v>96</v>
      </c>
      <c r="K10" s="14" t="s">
        <v>97</v>
      </c>
      <c r="L10" s="14" t="s">
        <v>80</v>
      </c>
      <c r="M10" s="14" t="s">
        <v>98</v>
      </c>
      <c r="N10" s="14" t="s">
        <v>99</v>
      </c>
    </row>
    <row r="11" spans="1:14" x14ac:dyDescent="0.25">
      <c r="A11" s="4" t="s">
        <v>100</v>
      </c>
      <c r="B11" s="5" t="s">
        <v>101</v>
      </c>
      <c r="C11" s="4" t="s">
        <v>73</v>
      </c>
      <c r="D11" s="4" t="s">
        <v>74</v>
      </c>
      <c r="E11" s="11" t="s">
        <v>102</v>
      </c>
      <c r="F11" s="11" t="s">
        <v>103</v>
      </c>
      <c r="G11" s="11" t="s">
        <v>104</v>
      </c>
      <c r="H11" s="17">
        <v>50</v>
      </c>
      <c r="I11" s="11" t="s">
        <v>58</v>
      </c>
      <c r="J11" s="18" t="s">
        <v>105</v>
      </c>
      <c r="K11" s="11" t="s">
        <v>60</v>
      </c>
      <c r="L11" s="11" t="s">
        <v>50</v>
      </c>
      <c r="M11" s="11" t="s">
        <v>106</v>
      </c>
      <c r="N11" s="11" t="s">
        <v>107</v>
      </c>
    </row>
    <row r="12" spans="1:14" x14ac:dyDescent="0.25">
      <c r="A12" s="2" t="s">
        <v>108</v>
      </c>
      <c r="B12" s="6" t="s">
        <v>109</v>
      </c>
      <c r="C12" s="2" t="s">
        <v>64</v>
      </c>
      <c r="D12" s="2" t="s">
        <v>65</v>
      </c>
      <c r="E12" s="14" t="s">
        <v>110</v>
      </c>
      <c r="F12" s="14" t="s">
        <v>66</v>
      </c>
      <c r="G12" s="14" t="s">
        <v>111</v>
      </c>
      <c r="H12" s="19">
        <v>8</v>
      </c>
      <c r="I12" s="14" t="s">
        <v>112</v>
      </c>
      <c r="J12" s="20" t="s">
        <v>113</v>
      </c>
      <c r="K12" s="14" t="s">
        <v>49</v>
      </c>
      <c r="L12" s="14" t="s">
        <v>50</v>
      </c>
      <c r="M12" s="14" t="s">
        <v>114</v>
      </c>
      <c r="N12" s="14" t="s">
        <v>115</v>
      </c>
    </row>
  </sheetData>
  <autoFilter ref="A4:N12" xr:uid="{00000000-0009-0000-0000-000001000000}"/>
  <mergeCells count="2">
    <mergeCell ref="A2:N2"/>
    <mergeCell ref="A1:N1"/>
  </mergeCells>
  <pageMargins left="0.25" right="0.25" top="0.5" bottom="0.5" header="0.5" footer="0.5"/>
  <pageSetup fitToHeight="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1F4E78"/>
    <pageSetUpPr fitToPage="1"/>
  </sheetPr>
  <dimension ref="A1:L16"/>
  <sheetViews>
    <sheetView showGridLines="0" topLeftCell="E1" zoomScale="85" workbookViewId="0">
      <pane ySplit="4" topLeftCell="A5" activePane="bottomLeft" state="frozen"/>
      <selection pane="bottomLeft" activeCell="J19" sqref="J19"/>
    </sheetView>
  </sheetViews>
  <sheetFormatPr defaultRowHeight="15" x14ac:dyDescent="0.25"/>
  <cols>
    <col min="1" max="1" width="16" customWidth="1"/>
    <col min="2" max="2" width="17" customWidth="1"/>
    <col min="3" max="3" width="14" customWidth="1"/>
    <col min="4" max="4" width="23.7109375" customWidth="1"/>
    <col min="5" max="5" width="16.5703125" customWidth="1"/>
    <col min="6" max="6" width="13.7109375" customWidth="1"/>
    <col min="7" max="7" width="22.5703125" customWidth="1"/>
    <col min="8" max="8" width="18" customWidth="1"/>
    <col min="9" max="9" width="20.7109375" customWidth="1"/>
    <col min="10" max="10" width="22" customWidth="1"/>
    <col min="11" max="11" width="20.140625" customWidth="1"/>
    <col min="12" max="12" width="39" customWidth="1"/>
  </cols>
  <sheetData>
    <row r="1" spans="1:12" ht="30" customHeight="1" x14ac:dyDescent="0.25">
      <c r="A1" s="25" t="s">
        <v>116</v>
      </c>
      <c r="B1" s="24"/>
      <c r="C1" s="24"/>
      <c r="D1" s="24"/>
      <c r="E1" s="24"/>
      <c r="F1" s="24"/>
      <c r="G1" s="24"/>
      <c r="H1" s="24"/>
      <c r="I1" s="24"/>
      <c r="J1" s="24"/>
      <c r="K1" s="24"/>
      <c r="L1" s="24"/>
    </row>
    <row r="2" spans="1:12" ht="27" customHeight="1" x14ac:dyDescent="0.25">
      <c r="A2" s="26" t="s">
        <v>117</v>
      </c>
      <c r="B2" s="24"/>
      <c r="C2" s="24"/>
      <c r="D2" s="24"/>
      <c r="E2" s="24"/>
      <c r="F2" s="24"/>
      <c r="G2" s="24"/>
      <c r="H2" s="24"/>
      <c r="I2" s="24"/>
      <c r="J2" s="24"/>
      <c r="K2" s="24"/>
      <c r="L2" s="24"/>
    </row>
    <row r="4" spans="1:12" ht="33.950000000000003" customHeight="1" x14ac:dyDescent="0.25">
      <c r="A4" s="10" t="s">
        <v>118</v>
      </c>
      <c r="B4" s="10" t="s">
        <v>5</v>
      </c>
      <c r="C4" s="10" t="s">
        <v>119</v>
      </c>
      <c r="D4" s="10" t="s">
        <v>120</v>
      </c>
      <c r="E4" s="10" t="s">
        <v>121</v>
      </c>
      <c r="F4" s="10" t="s">
        <v>122</v>
      </c>
      <c r="G4" s="10" t="s">
        <v>123</v>
      </c>
      <c r="H4" s="10" t="s">
        <v>124</v>
      </c>
      <c r="I4" s="10" t="s">
        <v>125</v>
      </c>
      <c r="J4" s="10" t="s">
        <v>126</v>
      </c>
      <c r="K4" s="10" t="s">
        <v>127</v>
      </c>
      <c r="L4" s="10" t="s">
        <v>128</v>
      </c>
    </row>
    <row r="5" spans="1:12" x14ac:dyDescent="0.25">
      <c r="A5" s="4" t="s">
        <v>129</v>
      </c>
      <c r="B5" s="4" t="s">
        <v>12</v>
      </c>
      <c r="C5" s="4" t="s">
        <v>130</v>
      </c>
      <c r="D5" s="4" t="s">
        <v>131</v>
      </c>
      <c r="E5" s="5" t="s">
        <v>53</v>
      </c>
      <c r="F5" s="5" t="s">
        <v>91</v>
      </c>
      <c r="G5" s="4" t="s">
        <v>132</v>
      </c>
      <c r="H5" s="5" t="s">
        <v>133</v>
      </c>
      <c r="I5" s="5" t="s">
        <v>134</v>
      </c>
      <c r="J5" s="4" t="s">
        <v>135</v>
      </c>
      <c r="K5" s="4" t="s">
        <v>44</v>
      </c>
      <c r="L5" s="4" t="s">
        <v>136</v>
      </c>
    </row>
    <row r="6" spans="1:12" x14ac:dyDescent="0.25">
      <c r="A6" s="2" t="s">
        <v>137</v>
      </c>
      <c r="B6" s="2" t="s">
        <v>12</v>
      </c>
      <c r="C6" s="2" t="s">
        <v>138</v>
      </c>
      <c r="D6" s="2" t="s">
        <v>139</v>
      </c>
      <c r="E6" s="6" t="s">
        <v>53</v>
      </c>
      <c r="F6" s="6" t="s">
        <v>91</v>
      </c>
      <c r="G6" s="2" t="s">
        <v>132</v>
      </c>
      <c r="H6" s="6" t="s">
        <v>91</v>
      </c>
      <c r="I6" s="6" t="s">
        <v>140</v>
      </c>
      <c r="J6" s="2" t="s">
        <v>135</v>
      </c>
      <c r="K6" s="2" t="s">
        <v>44</v>
      </c>
      <c r="L6" s="2" t="s">
        <v>141</v>
      </c>
    </row>
    <row r="7" spans="1:12" x14ac:dyDescent="0.25">
      <c r="A7" s="4" t="s">
        <v>142</v>
      </c>
      <c r="B7" s="4" t="s">
        <v>12</v>
      </c>
      <c r="C7" s="4" t="s">
        <v>143</v>
      </c>
      <c r="D7" s="4" t="s">
        <v>144</v>
      </c>
      <c r="E7" s="5" t="s">
        <v>53</v>
      </c>
      <c r="F7" s="5" t="s">
        <v>91</v>
      </c>
      <c r="G7" s="4" t="s">
        <v>132</v>
      </c>
      <c r="H7" s="5" t="s">
        <v>83</v>
      </c>
      <c r="I7" s="5" t="s">
        <v>145</v>
      </c>
      <c r="J7" s="4" t="s">
        <v>135</v>
      </c>
      <c r="K7" s="4" t="s">
        <v>44</v>
      </c>
      <c r="L7" s="4" t="s">
        <v>146</v>
      </c>
    </row>
    <row r="8" spans="1:12" x14ac:dyDescent="0.25">
      <c r="A8" s="2" t="s">
        <v>147</v>
      </c>
      <c r="B8" s="2" t="s">
        <v>14</v>
      </c>
      <c r="C8" s="2" t="s">
        <v>148</v>
      </c>
      <c r="D8" s="2" t="s">
        <v>149</v>
      </c>
      <c r="E8" s="6" t="s">
        <v>72</v>
      </c>
      <c r="F8" s="6" t="s">
        <v>150</v>
      </c>
      <c r="G8" s="2" t="s">
        <v>132</v>
      </c>
      <c r="H8" s="6" t="s">
        <v>109</v>
      </c>
      <c r="I8" s="6" t="s">
        <v>151</v>
      </c>
      <c r="J8" s="2" t="s">
        <v>135</v>
      </c>
      <c r="K8" s="2" t="s">
        <v>55</v>
      </c>
      <c r="L8" s="2" t="s">
        <v>136</v>
      </c>
    </row>
    <row r="9" spans="1:12" x14ac:dyDescent="0.25">
      <c r="A9" s="4" t="s">
        <v>152</v>
      </c>
      <c r="B9" s="4" t="s">
        <v>14</v>
      </c>
      <c r="C9" s="4" t="s">
        <v>153</v>
      </c>
      <c r="D9" s="4" t="s">
        <v>154</v>
      </c>
      <c r="E9" s="5" t="s">
        <v>72</v>
      </c>
      <c r="F9" s="5" t="s">
        <v>150</v>
      </c>
      <c r="G9" s="4" t="s">
        <v>132</v>
      </c>
      <c r="H9" s="5" t="s">
        <v>150</v>
      </c>
      <c r="I9" s="5" t="s">
        <v>155</v>
      </c>
      <c r="J9" s="4" t="s">
        <v>135</v>
      </c>
      <c r="K9" s="4" t="s">
        <v>55</v>
      </c>
      <c r="L9" s="4" t="s">
        <v>141</v>
      </c>
    </row>
    <row r="10" spans="1:12" x14ac:dyDescent="0.25">
      <c r="A10" s="2" t="s">
        <v>156</v>
      </c>
      <c r="B10" s="2" t="s">
        <v>14</v>
      </c>
      <c r="C10" s="2" t="s">
        <v>157</v>
      </c>
      <c r="D10" s="2" t="s">
        <v>158</v>
      </c>
      <c r="E10" s="6" t="s">
        <v>72</v>
      </c>
      <c r="F10" s="6" t="s">
        <v>150</v>
      </c>
      <c r="G10" s="2" t="s">
        <v>159</v>
      </c>
      <c r="H10" s="2"/>
      <c r="I10" s="2"/>
      <c r="J10" s="2"/>
      <c r="K10" s="2" t="s">
        <v>55</v>
      </c>
      <c r="L10" s="2" t="s">
        <v>160</v>
      </c>
    </row>
    <row r="11" spans="1:12" x14ac:dyDescent="0.25">
      <c r="A11" s="4" t="s">
        <v>161</v>
      </c>
      <c r="B11" s="4" t="s">
        <v>16</v>
      </c>
      <c r="C11" s="4" t="s">
        <v>162</v>
      </c>
      <c r="D11" s="4" t="s">
        <v>163</v>
      </c>
      <c r="E11" s="5" t="s">
        <v>83</v>
      </c>
      <c r="F11" s="5" t="s">
        <v>164</v>
      </c>
      <c r="G11" s="4" t="s">
        <v>132</v>
      </c>
      <c r="H11" s="5" t="s">
        <v>165</v>
      </c>
      <c r="I11" s="5" t="s">
        <v>166</v>
      </c>
      <c r="J11" s="4" t="s">
        <v>135</v>
      </c>
      <c r="K11" s="4" t="s">
        <v>65</v>
      </c>
      <c r="L11" s="4" t="s">
        <v>136</v>
      </c>
    </row>
    <row r="12" spans="1:12" x14ac:dyDescent="0.25">
      <c r="A12" s="2" t="s">
        <v>167</v>
      </c>
      <c r="B12" s="2" t="s">
        <v>16</v>
      </c>
      <c r="C12" s="2" t="s">
        <v>168</v>
      </c>
      <c r="D12" s="2" t="s">
        <v>169</v>
      </c>
      <c r="E12" s="6" t="s">
        <v>83</v>
      </c>
      <c r="F12" s="6" t="s">
        <v>164</v>
      </c>
      <c r="G12" s="2" t="s">
        <v>132</v>
      </c>
      <c r="H12" s="6" t="s">
        <v>164</v>
      </c>
      <c r="I12" s="6" t="s">
        <v>170</v>
      </c>
      <c r="J12" s="2" t="s">
        <v>135</v>
      </c>
      <c r="K12" s="2" t="s">
        <v>65</v>
      </c>
      <c r="L12" s="2" t="s">
        <v>171</v>
      </c>
    </row>
    <row r="13" spans="1:12" x14ac:dyDescent="0.25">
      <c r="A13" s="4" t="s">
        <v>172</v>
      </c>
      <c r="B13" s="4" t="s">
        <v>16</v>
      </c>
      <c r="C13" s="4" t="s">
        <v>173</v>
      </c>
      <c r="D13" s="4" t="s">
        <v>174</v>
      </c>
      <c r="E13" s="5" t="s">
        <v>83</v>
      </c>
      <c r="F13" s="5" t="s">
        <v>164</v>
      </c>
      <c r="G13" s="4" t="s">
        <v>175</v>
      </c>
      <c r="H13" s="4"/>
      <c r="I13" s="4"/>
      <c r="J13" s="4"/>
      <c r="K13" s="4" t="s">
        <v>65</v>
      </c>
      <c r="L13" s="4" t="s">
        <v>176</v>
      </c>
    </row>
    <row r="14" spans="1:12" x14ac:dyDescent="0.25">
      <c r="A14" s="2" t="s">
        <v>177</v>
      </c>
      <c r="B14" s="2" t="s">
        <v>18</v>
      </c>
      <c r="C14" s="2" t="s">
        <v>130</v>
      </c>
      <c r="D14" s="2" t="s">
        <v>131</v>
      </c>
      <c r="E14" s="6" t="s">
        <v>133</v>
      </c>
      <c r="F14" s="6" t="s">
        <v>165</v>
      </c>
      <c r="G14" s="2" t="s">
        <v>132</v>
      </c>
      <c r="H14" s="6" t="s">
        <v>150</v>
      </c>
      <c r="I14" s="6" t="s">
        <v>155</v>
      </c>
      <c r="J14" s="2" t="s">
        <v>135</v>
      </c>
      <c r="K14" s="2" t="s">
        <v>44</v>
      </c>
      <c r="L14" s="2" t="s">
        <v>136</v>
      </c>
    </row>
    <row r="15" spans="1:12" x14ac:dyDescent="0.25">
      <c r="A15" s="4" t="s">
        <v>178</v>
      </c>
      <c r="B15" s="4" t="s">
        <v>18</v>
      </c>
      <c r="C15" s="4" t="s">
        <v>179</v>
      </c>
      <c r="D15" s="4" t="s">
        <v>180</v>
      </c>
      <c r="E15" s="5" t="s">
        <v>133</v>
      </c>
      <c r="F15" s="5" t="s">
        <v>165</v>
      </c>
      <c r="G15" s="4" t="s">
        <v>132</v>
      </c>
      <c r="H15" s="5" t="s">
        <v>165</v>
      </c>
      <c r="I15" s="5" t="s">
        <v>166</v>
      </c>
      <c r="J15" s="4" t="s">
        <v>135</v>
      </c>
      <c r="K15" s="4" t="s">
        <v>44</v>
      </c>
      <c r="L15" s="4" t="s">
        <v>181</v>
      </c>
    </row>
    <row r="16" spans="1:12" x14ac:dyDescent="0.25">
      <c r="A16" s="2" t="s">
        <v>182</v>
      </c>
      <c r="B16" s="2" t="s">
        <v>18</v>
      </c>
      <c r="C16" s="2" t="s">
        <v>183</v>
      </c>
      <c r="D16" s="2" t="s">
        <v>184</v>
      </c>
      <c r="E16" s="6" t="s">
        <v>133</v>
      </c>
      <c r="F16" s="6" t="s">
        <v>165</v>
      </c>
      <c r="G16" s="2" t="s">
        <v>132</v>
      </c>
      <c r="H16" s="6" t="s">
        <v>109</v>
      </c>
      <c r="I16" s="6" t="s">
        <v>151</v>
      </c>
      <c r="J16" s="2" t="s">
        <v>135</v>
      </c>
      <c r="K16" s="2" t="s">
        <v>44</v>
      </c>
      <c r="L16" s="2" t="s">
        <v>136</v>
      </c>
    </row>
  </sheetData>
  <mergeCells count="2">
    <mergeCell ref="A2:L2"/>
    <mergeCell ref="A1:L1"/>
  </mergeCells>
  <conditionalFormatting sqref="G5:G100">
    <cfRule type="expression" dxfId="9" priority="1">
      <formula>ISNUMBER(SEARCH("Non-Compliant",G5))</formula>
    </cfRule>
    <cfRule type="expression" dxfId="8" priority="2">
      <formula>ISNUMBER(SEARCH("Recommended",G5))</formula>
    </cfRule>
    <cfRule type="expression" dxfId="7" priority="3">
      <formula>ISNUMBER(SEARCH("Pending",G5))</formula>
    </cfRule>
  </conditionalFormatting>
  <pageMargins left="0.25" right="0.25" top="0.5" bottom="0.5" header="0.5" footer="0.5"/>
  <pageSetup fitToHeight="0"/>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1F4E78"/>
    <pageSetUpPr fitToPage="1"/>
  </sheetPr>
  <dimension ref="A1:Q100"/>
  <sheetViews>
    <sheetView showGridLines="0" zoomScale="85" workbookViewId="0">
      <pane ySplit="4" topLeftCell="A5" activePane="bottomLeft" state="frozen"/>
      <selection pane="bottomLeft" activeCell="M7" sqref="M7"/>
    </sheetView>
  </sheetViews>
  <sheetFormatPr defaultRowHeight="15" x14ac:dyDescent="0.25"/>
  <cols>
    <col min="1" max="1" width="16" customWidth="1"/>
    <col min="2" max="2" width="17" customWidth="1"/>
    <col min="3" max="3" width="14" customWidth="1"/>
    <col min="4" max="4" width="28" customWidth="1"/>
    <col min="5" max="5" width="16.28515625" customWidth="1"/>
    <col min="6" max="6" width="12" customWidth="1"/>
    <col min="7" max="7" width="15.5703125" customWidth="1"/>
    <col min="8" max="8" width="18.140625" customWidth="1"/>
    <col min="9" max="9" width="15.85546875" customWidth="1"/>
    <col min="10" max="10" width="17.5703125" customWidth="1"/>
    <col min="11" max="11" width="13.7109375" customWidth="1"/>
    <col min="12" max="12" width="18.42578125" customWidth="1"/>
    <col min="13" max="13" width="27.42578125" customWidth="1"/>
    <col min="14" max="14" width="16" customWidth="1"/>
    <col min="15" max="15" width="19.140625" customWidth="1"/>
    <col min="16" max="16" width="14.7109375" customWidth="1"/>
    <col min="17" max="17" width="20" customWidth="1"/>
  </cols>
  <sheetData>
    <row r="1" spans="1:17" ht="30" customHeight="1" x14ac:dyDescent="0.25">
      <c r="A1" s="25" t="s">
        <v>185</v>
      </c>
      <c r="B1" s="24"/>
      <c r="C1" s="24"/>
      <c r="D1" s="24"/>
      <c r="E1" s="24"/>
      <c r="F1" s="24"/>
      <c r="G1" s="24"/>
      <c r="H1" s="24"/>
      <c r="I1" s="24"/>
      <c r="J1" s="24"/>
      <c r="K1" s="24"/>
      <c r="L1" s="24"/>
      <c r="M1" s="24"/>
      <c r="N1" s="24"/>
      <c r="O1" s="24"/>
      <c r="P1" s="24"/>
      <c r="Q1" s="24"/>
    </row>
    <row r="2" spans="1:17" ht="27" customHeight="1" x14ac:dyDescent="0.25">
      <c r="A2" s="26" t="s">
        <v>186</v>
      </c>
      <c r="B2" s="24"/>
      <c r="C2" s="24"/>
      <c r="D2" s="24"/>
      <c r="E2" s="24"/>
      <c r="F2" s="24"/>
      <c r="G2" s="24"/>
      <c r="H2" s="24"/>
      <c r="I2" s="24"/>
      <c r="J2" s="24"/>
      <c r="K2" s="24"/>
      <c r="L2" s="24"/>
      <c r="M2" s="24"/>
      <c r="N2" s="24"/>
      <c r="O2" s="24"/>
      <c r="P2" s="24"/>
      <c r="Q2" s="24"/>
    </row>
    <row r="4" spans="1:17" ht="33.950000000000003" customHeight="1" x14ac:dyDescent="0.25">
      <c r="A4" s="10" t="s">
        <v>118</v>
      </c>
      <c r="B4" s="10" t="s">
        <v>5</v>
      </c>
      <c r="C4" s="10" t="s">
        <v>119</v>
      </c>
      <c r="D4" s="10" t="s">
        <v>120</v>
      </c>
      <c r="E4" s="10" t="s">
        <v>187</v>
      </c>
      <c r="F4" s="10" t="s">
        <v>35</v>
      </c>
      <c r="G4" s="10" t="s">
        <v>188</v>
      </c>
      <c r="H4" s="10" t="s">
        <v>189</v>
      </c>
      <c r="I4" s="10" t="s">
        <v>190</v>
      </c>
      <c r="J4" s="10" t="s">
        <v>191</v>
      </c>
      <c r="K4" s="10" t="s">
        <v>192</v>
      </c>
      <c r="L4" s="10" t="s">
        <v>193</v>
      </c>
      <c r="M4" s="10" t="s">
        <v>194</v>
      </c>
      <c r="N4" s="10" t="s">
        <v>195</v>
      </c>
      <c r="O4" s="10" t="s">
        <v>196</v>
      </c>
      <c r="P4" s="10" t="s">
        <v>197</v>
      </c>
      <c r="Q4" s="10" t="s">
        <v>198</v>
      </c>
    </row>
    <row r="5" spans="1:17" x14ac:dyDescent="0.25">
      <c r="A5" s="11" t="s">
        <v>129</v>
      </c>
      <c r="B5" s="11" t="s">
        <v>12</v>
      </c>
      <c r="C5" s="11" t="s">
        <v>130</v>
      </c>
      <c r="D5" s="11" t="s">
        <v>131</v>
      </c>
      <c r="E5" s="12">
        <v>18.5</v>
      </c>
      <c r="F5" s="11">
        <v>240</v>
      </c>
      <c r="G5" s="21">
        <v>0.05</v>
      </c>
      <c r="H5" s="12">
        <v>45</v>
      </c>
      <c r="I5" s="21">
        <v>0.15</v>
      </c>
      <c r="J5" s="12">
        <f t="shared" ref="J5:J14" si="0">IF(OR(E5="",F5=""),"",ROUND(E5*F5*(1-G5)*(1+I5)+H5,2))</f>
        <v>4895.7</v>
      </c>
      <c r="K5" s="11">
        <v>7</v>
      </c>
      <c r="L5" s="11">
        <v>30</v>
      </c>
      <c r="M5" s="11" t="s">
        <v>199</v>
      </c>
      <c r="N5" s="11">
        <v>12</v>
      </c>
      <c r="O5" s="11" t="str">
        <f ca="1">IF(A5="","",IFERROR(IF(INDEX('RFQ Register'!$I$5:$I$100,MATCH(A5,'RFQ Register'!$A$5:$A$100,0))&gt;=TODAY(),"Yes","Expired"),"Pending Review"))</f>
        <v>Yes</v>
      </c>
      <c r="P5" s="11">
        <f t="shared" ref="P5:P36" ca="1" si="1">IF(OR(J5="",Q5&lt;&gt;"Eligible"),"",COUNTIFS($B$5:$B$100,B5,$J$5:$J$100,"&lt;"&amp;J5,$Q$5:$Q$100,"Eligible")+1)</f>
        <v>1</v>
      </c>
      <c r="Q5" s="11" t="str">
        <f t="shared" ref="Q5:Q14" ca="1" si="2">IF(A5="","",IF(M5="No","Non-Compliant",IF(M5="Pending","Pending Review",IF(O5="Expired","Expired",IF(O5="Yes","Eligible","Pending Review")))))</f>
        <v>Eligible</v>
      </c>
    </row>
    <row r="6" spans="1:17" x14ac:dyDescent="0.25">
      <c r="A6" s="14" t="s">
        <v>137</v>
      </c>
      <c r="B6" s="14" t="s">
        <v>12</v>
      </c>
      <c r="C6" s="14" t="s">
        <v>138</v>
      </c>
      <c r="D6" s="14" t="s">
        <v>139</v>
      </c>
      <c r="E6" s="15">
        <v>17.899999999999999</v>
      </c>
      <c r="F6" s="14">
        <v>240</v>
      </c>
      <c r="G6" s="22">
        <v>0</v>
      </c>
      <c r="H6" s="15">
        <v>80</v>
      </c>
      <c r="I6" s="22">
        <v>0.15</v>
      </c>
      <c r="J6" s="15">
        <f t="shared" si="0"/>
        <v>5020.3999999999996</v>
      </c>
      <c r="K6" s="14">
        <v>5</v>
      </c>
      <c r="L6" s="14">
        <v>15</v>
      </c>
      <c r="M6" s="14" t="s">
        <v>199</v>
      </c>
      <c r="N6" s="14">
        <v>6</v>
      </c>
      <c r="O6" s="14" t="str">
        <f ca="1">IF(A6="","",IFERROR(IF(INDEX('RFQ Register'!$I$5:$I$100,MATCH(A6,'RFQ Register'!$A$5:$A$100,0))&gt;=TODAY(),"Yes","Expired"),"Pending Review"))</f>
        <v>Yes</v>
      </c>
      <c r="P6" s="14">
        <f t="shared" ca="1" si="1"/>
        <v>2</v>
      </c>
      <c r="Q6" s="14" t="str">
        <f t="shared" ca="1" si="2"/>
        <v>Eligible</v>
      </c>
    </row>
    <row r="7" spans="1:17" x14ac:dyDescent="0.25">
      <c r="A7" s="11" t="s">
        <v>142</v>
      </c>
      <c r="B7" s="11" t="s">
        <v>12</v>
      </c>
      <c r="C7" s="11" t="s">
        <v>143</v>
      </c>
      <c r="D7" s="11" t="s">
        <v>144</v>
      </c>
      <c r="E7" s="12">
        <v>16.8</v>
      </c>
      <c r="F7" s="11">
        <v>240</v>
      </c>
      <c r="G7" s="21">
        <v>0.03</v>
      </c>
      <c r="H7" s="12">
        <v>120</v>
      </c>
      <c r="I7" s="21">
        <v>0.15</v>
      </c>
      <c r="J7" s="12">
        <f t="shared" si="0"/>
        <v>4617.7</v>
      </c>
      <c r="K7" s="11">
        <v>10</v>
      </c>
      <c r="L7" s="11">
        <v>45</v>
      </c>
      <c r="M7" s="11" t="s">
        <v>200</v>
      </c>
      <c r="N7" s="11">
        <v>12</v>
      </c>
      <c r="O7" s="11" t="str">
        <f ca="1">IF(A7="","",IFERROR(IF(INDEX('RFQ Register'!$I$5:$I$100,MATCH(A7,'RFQ Register'!$A$5:$A$100,0))&gt;=TODAY(),"Yes","Expired"),"Pending Review"))</f>
        <v>Yes</v>
      </c>
      <c r="P7" s="11" t="str">
        <f t="shared" si="1"/>
        <v/>
      </c>
      <c r="Q7" s="11" t="str">
        <f t="shared" si="2"/>
        <v>Non-Compliant</v>
      </c>
    </row>
    <row r="8" spans="1:17" x14ac:dyDescent="0.25">
      <c r="A8" s="14" t="s">
        <v>147</v>
      </c>
      <c r="B8" s="14" t="s">
        <v>14</v>
      </c>
      <c r="C8" s="14" t="s">
        <v>148</v>
      </c>
      <c r="D8" s="14" t="s">
        <v>149</v>
      </c>
      <c r="E8" s="15">
        <v>420</v>
      </c>
      <c r="F8" s="14">
        <v>36</v>
      </c>
      <c r="G8" s="22">
        <v>0.05</v>
      </c>
      <c r="H8" s="15">
        <v>150</v>
      </c>
      <c r="I8" s="22">
        <v>0.15</v>
      </c>
      <c r="J8" s="15">
        <f t="shared" si="0"/>
        <v>16668.599999999999</v>
      </c>
      <c r="K8" s="14">
        <v>8</v>
      </c>
      <c r="L8" s="14">
        <v>30</v>
      </c>
      <c r="M8" s="14" t="s">
        <v>199</v>
      </c>
      <c r="N8" s="14">
        <v>36</v>
      </c>
      <c r="O8" s="14" t="str">
        <f ca="1">IF(A8="","",IFERROR(IF(INDEX('RFQ Register'!$I$5:$I$100,MATCH(A8,'RFQ Register'!$A$5:$A$100,0))&gt;=TODAY(),"Yes","Expired"),"Pending Review"))</f>
        <v>Yes</v>
      </c>
      <c r="P8" s="14">
        <f t="shared" ca="1" si="1"/>
        <v>1</v>
      </c>
      <c r="Q8" s="14" t="str">
        <f t="shared" ca="1" si="2"/>
        <v>Eligible</v>
      </c>
    </row>
    <row r="9" spans="1:17" x14ac:dyDescent="0.25">
      <c r="A9" s="11" t="s">
        <v>152</v>
      </c>
      <c r="B9" s="11" t="s">
        <v>14</v>
      </c>
      <c r="C9" s="11" t="s">
        <v>153</v>
      </c>
      <c r="D9" s="11" t="s">
        <v>154</v>
      </c>
      <c r="E9" s="12">
        <v>398</v>
      </c>
      <c r="F9" s="11">
        <v>36</v>
      </c>
      <c r="G9" s="21">
        <v>0</v>
      </c>
      <c r="H9" s="12">
        <v>250</v>
      </c>
      <c r="I9" s="21">
        <v>0.15</v>
      </c>
      <c r="J9" s="12">
        <f t="shared" si="0"/>
        <v>16727.2</v>
      </c>
      <c r="K9" s="11">
        <v>12</v>
      </c>
      <c r="L9" s="11">
        <v>45</v>
      </c>
      <c r="M9" s="11" t="s">
        <v>199</v>
      </c>
      <c r="N9" s="11">
        <v>24</v>
      </c>
      <c r="O9" s="11" t="str">
        <f ca="1">IF(A9="","",IFERROR(IF(INDEX('RFQ Register'!$I$5:$I$100,MATCH(A9,'RFQ Register'!$A$5:$A$100,0))&gt;=TODAY(),"Yes","Expired"),"Pending Review"))</f>
        <v>Yes</v>
      </c>
      <c r="P9" s="11">
        <f t="shared" ca="1" si="1"/>
        <v>2</v>
      </c>
      <c r="Q9" s="11" t="str">
        <f t="shared" ca="1" si="2"/>
        <v>Eligible</v>
      </c>
    </row>
    <row r="10" spans="1:17" x14ac:dyDescent="0.25">
      <c r="A10" s="14" t="s">
        <v>161</v>
      </c>
      <c r="B10" s="14" t="s">
        <v>16</v>
      </c>
      <c r="C10" s="14" t="s">
        <v>162</v>
      </c>
      <c r="D10" s="14" t="s">
        <v>163</v>
      </c>
      <c r="E10" s="15">
        <v>680</v>
      </c>
      <c r="F10" s="14">
        <v>12</v>
      </c>
      <c r="G10" s="22">
        <v>0.02</v>
      </c>
      <c r="H10" s="15">
        <v>0</v>
      </c>
      <c r="I10" s="22">
        <v>0.15</v>
      </c>
      <c r="J10" s="15">
        <f t="shared" si="0"/>
        <v>9196.32</v>
      </c>
      <c r="K10" s="14">
        <v>5</v>
      </c>
      <c r="L10" s="14">
        <v>30</v>
      </c>
      <c r="M10" s="14" t="s">
        <v>199</v>
      </c>
      <c r="N10" s="14">
        <v>24</v>
      </c>
      <c r="O10" s="14" t="str">
        <f ca="1">IF(A10="","",IFERROR(IF(INDEX('RFQ Register'!$I$5:$I$100,MATCH(A10,'RFQ Register'!$A$5:$A$100,0))&gt;=TODAY(),"Yes","Expired"),"Pending Review"))</f>
        <v>Yes</v>
      </c>
      <c r="P10" s="14">
        <f t="shared" ca="1" si="1"/>
        <v>2</v>
      </c>
      <c r="Q10" s="14" t="str">
        <f t="shared" ca="1" si="2"/>
        <v>Eligible</v>
      </c>
    </row>
    <row r="11" spans="1:17" x14ac:dyDescent="0.25">
      <c r="A11" s="11" t="s">
        <v>167</v>
      </c>
      <c r="B11" s="11" t="s">
        <v>16</v>
      </c>
      <c r="C11" s="11" t="s">
        <v>168</v>
      </c>
      <c r="D11" s="11" t="s">
        <v>169</v>
      </c>
      <c r="E11" s="12">
        <v>625</v>
      </c>
      <c r="F11" s="11">
        <v>12</v>
      </c>
      <c r="G11" s="21">
        <v>0</v>
      </c>
      <c r="H11" s="12">
        <v>90</v>
      </c>
      <c r="I11" s="21">
        <v>0.15</v>
      </c>
      <c r="J11" s="12">
        <f t="shared" si="0"/>
        <v>8715</v>
      </c>
      <c r="K11" s="11">
        <v>14</v>
      </c>
      <c r="L11" s="11">
        <v>60</v>
      </c>
      <c r="M11" s="11" t="s">
        <v>199</v>
      </c>
      <c r="N11" s="11">
        <v>12</v>
      </c>
      <c r="O11" s="11" t="str">
        <f ca="1">IF(A11="","",IFERROR(IF(INDEX('RFQ Register'!$I$5:$I$100,MATCH(A11,'RFQ Register'!$A$5:$A$100,0))&gt;=TODAY(),"Yes","Expired"),"Pending Review"))</f>
        <v>Yes</v>
      </c>
      <c r="P11" s="11">
        <f t="shared" ca="1" si="1"/>
        <v>1</v>
      </c>
      <c r="Q11" s="11" t="str">
        <f t="shared" ca="1" si="2"/>
        <v>Eligible</v>
      </c>
    </row>
    <row r="12" spans="1:17" x14ac:dyDescent="0.25">
      <c r="A12" s="14" t="s">
        <v>177</v>
      </c>
      <c r="B12" s="14" t="s">
        <v>18</v>
      </c>
      <c r="C12" s="14" t="s">
        <v>130</v>
      </c>
      <c r="D12" s="14" t="s">
        <v>131</v>
      </c>
      <c r="E12" s="15">
        <v>42</v>
      </c>
      <c r="F12" s="14">
        <v>80</v>
      </c>
      <c r="G12" s="22">
        <v>0.05</v>
      </c>
      <c r="H12" s="15">
        <v>60</v>
      </c>
      <c r="I12" s="22">
        <v>0.15</v>
      </c>
      <c r="J12" s="15">
        <f t="shared" si="0"/>
        <v>3730.8</v>
      </c>
      <c r="K12" s="14">
        <v>6</v>
      </c>
      <c r="L12" s="14">
        <v>30</v>
      </c>
      <c r="M12" s="14" t="s">
        <v>199</v>
      </c>
      <c r="N12" s="14">
        <v>12</v>
      </c>
      <c r="O12" s="14" t="str">
        <f ca="1">IF(A12="","",IFERROR(IF(INDEX('RFQ Register'!$I$5:$I$100,MATCH(A12,'RFQ Register'!$A$5:$A$100,0))&gt;=TODAY(),"Yes","Expired"),"Pending Review"))</f>
        <v>Yes</v>
      </c>
      <c r="P12" s="14">
        <f t="shared" ca="1" si="1"/>
        <v>1</v>
      </c>
      <c r="Q12" s="14" t="str">
        <f t="shared" ca="1" si="2"/>
        <v>Eligible</v>
      </c>
    </row>
    <row r="13" spans="1:17" x14ac:dyDescent="0.25">
      <c r="A13" s="11" t="s">
        <v>178</v>
      </c>
      <c r="B13" s="11" t="s">
        <v>18</v>
      </c>
      <c r="C13" s="11" t="s">
        <v>179</v>
      </c>
      <c r="D13" s="11" t="s">
        <v>180</v>
      </c>
      <c r="E13" s="12">
        <v>39.5</v>
      </c>
      <c r="F13" s="11">
        <v>80</v>
      </c>
      <c r="G13" s="21">
        <v>0</v>
      </c>
      <c r="H13" s="12">
        <v>95</v>
      </c>
      <c r="I13" s="21">
        <v>0.15</v>
      </c>
      <c r="J13" s="12">
        <f t="shared" si="0"/>
        <v>3729</v>
      </c>
      <c r="K13" s="11">
        <v>9</v>
      </c>
      <c r="L13" s="11">
        <v>30</v>
      </c>
      <c r="M13" s="11" t="s">
        <v>159</v>
      </c>
      <c r="N13" s="11">
        <v>12</v>
      </c>
      <c r="O13" s="11" t="str">
        <f ca="1">IF(A13="","",IFERROR(IF(INDEX('RFQ Register'!$I$5:$I$100,MATCH(A13,'RFQ Register'!$A$5:$A$100,0))&gt;=TODAY(),"Yes","Expired"),"Pending Review"))</f>
        <v>Yes</v>
      </c>
      <c r="P13" s="11" t="str">
        <f t="shared" si="1"/>
        <v/>
      </c>
      <c r="Q13" s="11" t="str">
        <f t="shared" si="2"/>
        <v>Pending Review</v>
      </c>
    </row>
    <row r="14" spans="1:17" x14ac:dyDescent="0.25">
      <c r="A14" s="14" t="s">
        <v>182</v>
      </c>
      <c r="B14" s="14" t="s">
        <v>18</v>
      </c>
      <c r="C14" s="14" t="s">
        <v>183</v>
      </c>
      <c r="D14" s="14" t="s">
        <v>184</v>
      </c>
      <c r="E14" s="15">
        <v>41</v>
      </c>
      <c r="F14" s="14">
        <v>80</v>
      </c>
      <c r="G14" s="22">
        <v>0.02</v>
      </c>
      <c r="H14" s="15">
        <v>40</v>
      </c>
      <c r="I14" s="22">
        <v>0.15</v>
      </c>
      <c r="J14" s="15">
        <f t="shared" si="0"/>
        <v>3736.56</v>
      </c>
      <c r="K14" s="14">
        <v>7</v>
      </c>
      <c r="L14" s="14">
        <v>45</v>
      </c>
      <c r="M14" s="14" t="s">
        <v>199</v>
      </c>
      <c r="N14" s="14">
        <v>24</v>
      </c>
      <c r="O14" s="14" t="str">
        <f ca="1">IF(A14="","",IFERROR(IF(INDEX('RFQ Register'!$I$5:$I$100,MATCH(A14,'RFQ Register'!$A$5:$A$100,0))&gt;=TODAY(),"Yes","Expired"),"Pending Review"))</f>
        <v>Yes</v>
      </c>
      <c r="P14" s="14">
        <f t="shared" ca="1" si="1"/>
        <v>2</v>
      </c>
      <c r="Q14" s="14" t="str">
        <f t="shared" ca="1" si="2"/>
        <v>Eligible</v>
      </c>
    </row>
    <row r="15" spans="1:17" x14ac:dyDescent="0.25">
      <c r="P15" t="str">
        <f t="shared" si="1"/>
        <v/>
      </c>
    </row>
    <row r="16" spans="1:17" x14ac:dyDescent="0.25">
      <c r="P16" t="str">
        <f t="shared" si="1"/>
        <v/>
      </c>
    </row>
    <row r="17" spans="16:16" x14ac:dyDescent="0.25">
      <c r="P17" t="str">
        <f t="shared" si="1"/>
        <v/>
      </c>
    </row>
    <row r="18" spans="16:16" x14ac:dyDescent="0.25">
      <c r="P18" t="str">
        <f t="shared" si="1"/>
        <v/>
      </c>
    </row>
    <row r="19" spans="16:16" x14ac:dyDescent="0.25">
      <c r="P19" t="str">
        <f t="shared" si="1"/>
        <v/>
      </c>
    </row>
    <row r="20" spans="16:16" x14ac:dyDescent="0.25">
      <c r="P20" t="str">
        <f t="shared" si="1"/>
        <v/>
      </c>
    </row>
    <row r="21" spans="16:16" x14ac:dyDescent="0.25">
      <c r="P21" t="str">
        <f t="shared" si="1"/>
        <v/>
      </c>
    </row>
    <row r="22" spans="16:16" x14ac:dyDescent="0.25">
      <c r="P22" t="str">
        <f t="shared" si="1"/>
        <v/>
      </c>
    </row>
    <row r="23" spans="16:16" x14ac:dyDescent="0.25">
      <c r="P23" t="str">
        <f t="shared" si="1"/>
        <v/>
      </c>
    </row>
    <row r="24" spans="16:16" x14ac:dyDescent="0.25">
      <c r="P24" t="str">
        <f t="shared" si="1"/>
        <v/>
      </c>
    </row>
    <row r="25" spans="16:16" x14ac:dyDescent="0.25">
      <c r="P25" t="str">
        <f t="shared" si="1"/>
        <v/>
      </c>
    </row>
    <row r="26" spans="16:16" x14ac:dyDescent="0.25">
      <c r="P26" t="str">
        <f t="shared" si="1"/>
        <v/>
      </c>
    </row>
    <row r="27" spans="16:16" x14ac:dyDescent="0.25">
      <c r="P27" t="str">
        <f t="shared" si="1"/>
        <v/>
      </c>
    </row>
    <row r="28" spans="16:16" x14ac:dyDescent="0.25">
      <c r="P28" t="str">
        <f t="shared" si="1"/>
        <v/>
      </c>
    </row>
    <row r="29" spans="16:16" x14ac:dyDescent="0.25">
      <c r="P29" t="str">
        <f t="shared" si="1"/>
        <v/>
      </c>
    </row>
    <row r="30" spans="16:16" x14ac:dyDescent="0.25">
      <c r="P30" t="str">
        <f t="shared" si="1"/>
        <v/>
      </c>
    </row>
    <row r="31" spans="16:16" x14ac:dyDescent="0.25">
      <c r="P31" t="str">
        <f t="shared" si="1"/>
        <v/>
      </c>
    </row>
    <row r="32" spans="16:16" x14ac:dyDescent="0.25">
      <c r="P32" t="str">
        <f t="shared" si="1"/>
        <v/>
      </c>
    </row>
    <row r="33" spans="16:16" x14ac:dyDescent="0.25">
      <c r="P33" t="str">
        <f t="shared" si="1"/>
        <v/>
      </c>
    </row>
    <row r="34" spans="16:16" x14ac:dyDescent="0.25">
      <c r="P34" t="str">
        <f t="shared" si="1"/>
        <v/>
      </c>
    </row>
    <row r="35" spans="16:16" x14ac:dyDescent="0.25">
      <c r="P35" t="str">
        <f t="shared" si="1"/>
        <v/>
      </c>
    </row>
    <row r="36" spans="16:16" x14ac:dyDescent="0.25">
      <c r="P36" t="str">
        <f t="shared" si="1"/>
        <v/>
      </c>
    </row>
    <row r="37" spans="16:16" x14ac:dyDescent="0.25">
      <c r="P37" t="str">
        <f t="shared" ref="P37:P68" si="3">IF(OR(J37="",Q37&lt;&gt;"Eligible"),"",COUNTIFS($B$5:$B$100,B37,$J$5:$J$100,"&lt;"&amp;J37,$Q$5:$Q$100,"Eligible")+1)</f>
        <v/>
      </c>
    </row>
    <row r="38" spans="16:16" x14ac:dyDescent="0.25">
      <c r="P38" t="str">
        <f t="shared" si="3"/>
        <v/>
      </c>
    </row>
    <row r="39" spans="16:16" x14ac:dyDescent="0.25">
      <c r="P39" t="str">
        <f t="shared" si="3"/>
        <v/>
      </c>
    </row>
    <row r="40" spans="16:16" x14ac:dyDescent="0.25">
      <c r="P40" t="str">
        <f t="shared" si="3"/>
        <v/>
      </c>
    </row>
    <row r="41" spans="16:16" x14ac:dyDescent="0.25">
      <c r="P41" t="str">
        <f t="shared" si="3"/>
        <v/>
      </c>
    </row>
    <row r="42" spans="16:16" x14ac:dyDescent="0.25">
      <c r="P42" t="str">
        <f t="shared" si="3"/>
        <v/>
      </c>
    </row>
    <row r="43" spans="16:16" x14ac:dyDescent="0.25">
      <c r="P43" t="str">
        <f t="shared" si="3"/>
        <v/>
      </c>
    </row>
    <row r="44" spans="16:16" x14ac:dyDescent="0.25">
      <c r="P44" t="str">
        <f t="shared" si="3"/>
        <v/>
      </c>
    </row>
    <row r="45" spans="16:16" x14ac:dyDescent="0.25">
      <c r="P45" t="str">
        <f t="shared" si="3"/>
        <v/>
      </c>
    </row>
    <row r="46" spans="16:16" x14ac:dyDescent="0.25">
      <c r="P46" t="str">
        <f t="shared" si="3"/>
        <v/>
      </c>
    </row>
    <row r="47" spans="16:16" x14ac:dyDescent="0.25">
      <c r="P47" t="str">
        <f t="shared" si="3"/>
        <v/>
      </c>
    </row>
    <row r="48" spans="16:16" x14ac:dyDescent="0.25">
      <c r="P48" t="str">
        <f t="shared" si="3"/>
        <v/>
      </c>
    </row>
    <row r="49" spans="16:16" x14ac:dyDescent="0.25">
      <c r="P49" t="str">
        <f t="shared" si="3"/>
        <v/>
      </c>
    </row>
    <row r="50" spans="16:16" x14ac:dyDescent="0.25">
      <c r="P50" t="str">
        <f t="shared" si="3"/>
        <v/>
      </c>
    </row>
    <row r="51" spans="16:16" x14ac:dyDescent="0.25">
      <c r="P51" t="str">
        <f t="shared" si="3"/>
        <v/>
      </c>
    </row>
    <row r="52" spans="16:16" x14ac:dyDescent="0.25">
      <c r="P52" t="str">
        <f t="shared" si="3"/>
        <v/>
      </c>
    </row>
    <row r="53" spans="16:16" x14ac:dyDescent="0.25">
      <c r="P53" t="str">
        <f t="shared" si="3"/>
        <v/>
      </c>
    </row>
    <row r="54" spans="16:16" x14ac:dyDescent="0.25">
      <c r="P54" t="str">
        <f t="shared" si="3"/>
        <v/>
      </c>
    </row>
    <row r="55" spans="16:16" x14ac:dyDescent="0.25">
      <c r="P55" t="str">
        <f t="shared" si="3"/>
        <v/>
      </c>
    </row>
    <row r="56" spans="16:16" x14ac:dyDescent="0.25">
      <c r="P56" t="str">
        <f t="shared" si="3"/>
        <v/>
      </c>
    </row>
    <row r="57" spans="16:16" x14ac:dyDescent="0.25">
      <c r="P57" t="str">
        <f t="shared" si="3"/>
        <v/>
      </c>
    </row>
    <row r="58" spans="16:16" x14ac:dyDescent="0.25">
      <c r="P58" t="str">
        <f t="shared" si="3"/>
        <v/>
      </c>
    </row>
    <row r="59" spans="16:16" x14ac:dyDescent="0.25">
      <c r="P59" t="str">
        <f t="shared" si="3"/>
        <v/>
      </c>
    </row>
    <row r="60" spans="16:16" x14ac:dyDescent="0.25">
      <c r="P60" t="str">
        <f t="shared" si="3"/>
        <v/>
      </c>
    </row>
    <row r="61" spans="16:16" x14ac:dyDescent="0.25">
      <c r="P61" t="str">
        <f t="shared" si="3"/>
        <v/>
      </c>
    </row>
    <row r="62" spans="16:16" x14ac:dyDescent="0.25">
      <c r="P62" t="str">
        <f t="shared" si="3"/>
        <v/>
      </c>
    </row>
    <row r="63" spans="16:16" x14ac:dyDescent="0.25">
      <c r="P63" t="str">
        <f t="shared" si="3"/>
        <v/>
      </c>
    </row>
    <row r="64" spans="16:16" x14ac:dyDescent="0.25">
      <c r="P64" t="str">
        <f t="shared" si="3"/>
        <v/>
      </c>
    </row>
    <row r="65" spans="16:16" x14ac:dyDescent="0.25">
      <c r="P65" t="str">
        <f t="shared" si="3"/>
        <v/>
      </c>
    </row>
    <row r="66" spans="16:16" x14ac:dyDescent="0.25">
      <c r="P66" t="str">
        <f t="shared" si="3"/>
        <v/>
      </c>
    </row>
    <row r="67" spans="16:16" x14ac:dyDescent="0.25">
      <c r="P67" t="str">
        <f t="shared" si="3"/>
        <v/>
      </c>
    </row>
    <row r="68" spans="16:16" x14ac:dyDescent="0.25">
      <c r="P68" t="str">
        <f t="shared" si="3"/>
        <v/>
      </c>
    </row>
    <row r="69" spans="16:16" x14ac:dyDescent="0.25">
      <c r="P69" t="str">
        <f t="shared" ref="P69:P100" si="4">IF(OR(J69="",Q69&lt;&gt;"Eligible"),"",COUNTIFS($B$5:$B$100,B69,$J$5:$J$100,"&lt;"&amp;J69,$Q$5:$Q$100,"Eligible")+1)</f>
        <v/>
      </c>
    </row>
    <row r="70" spans="16:16" x14ac:dyDescent="0.25">
      <c r="P70" t="str">
        <f t="shared" si="4"/>
        <v/>
      </c>
    </row>
    <row r="71" spans="16:16" x14ac:dyDescent="0.25">
      <c r="P71" t="str">
        <f t="shared" si="4"/>
        <v/>
      </c>
    </row>
    <row r="72" spans="16:16" x14ac:dyDescent="0.25">
      <c r="P72" t="str">
        <f t="shared" si="4"/>
        <v/>
      </c>
    </row>
    <row r="73" spans="16:16" x14ac:dyDescent="0.25">
      <c r="P73" t="str">
        <f t="shared" si="4"/>
        <v/>
      </c>
    </row>
    <row r="74" spans="16:16" x14ac:dyDescent="0.25">
      <c r="P74" t="str">
        <f t="shared" si="4"/>
        <v/>
      </c>
    </row>
    <row r="75" spans="16:16" x14ac:dyDescent="0.25">
      <c r="P75" t="str">
        <f t="shared" si="4"/>
        <v/>
      </c>
    </row>
    <row r="76" spans="16:16" x14ac:dyDescent="0.25">
      <c r="P76" t="str">
        <f t="shared" si="4"/>
        <v/>
      </c>
    </row>
    <row r="77" spans="16:16" x14ac:dyDescent="0.25">
      <c r="P77" t="str">
        <f t="shared" si="4"/>
        <v/>
      </c>
    </row>
    <row r="78" spans="16:16" x14ac:dyDescent="0.25">
      <c r="P78" t="str">
        <f t="shared" si="4"/>
        <v/>
      </c>
    </row>
    <row r="79" spans="16:16" x14ac:dyDescent="0.25">
      <c r="P79" t="str">
        <f t="shared" si="4"/>
        <v/>
      </c>
    </row>
    <row r="80" spans="16:16" x14ac:dyDescent="0.25">
      <c r="P80" t="str">
        <f t="shared" si="4"/>
        <v/>
      </c>
    </row>
    <row r="81" spans="16:16" x14ac:dyDescent="0.25">
      <c r="P81" t="str">
        <f t="shared" si="4"/>
        <v/>
      </c>
    </row>
    <row r="82" spans="16:16" x14ac:dyDescent="0.25">
      <c r="P82" t="str">
        <f t="shared" si="4"/>
        <v/>
      </c>
    </row>
    <row r="83" spans="16:16" x14ac:dyDescent="0.25">
      <c r="P83" t="str">
        <f t="shared" si="4"/>
        <v/>
      </c>
    </row>
    <row r="84" spans="16:16" x14ac:dyDescent="0.25">
      <c r="P84" t="str">
        <f t="shared" si="4"/>
        <v/>
      </c>
    </row>
    <row r="85" spans="16:16" x14ac:dyDescent="0.25">
      <c r="P85" t="str">
        <f t="shared" si="4"/>
        <v/>
      </c>
    </row>
    <row r="86" spans="16:16" x14ac:dyDescent="0.25">
      <c r="P86" t="str">
        <f t="shared" si="4"/>
        <v/>
      </c>
    </row>
    <row r="87" spans="16:16" x14ac:dyDescent="0.25">
      <c r="P87" t="str">
        <f t="shared" si="4"/>
        <v/>
      </c>
    </row>
    <row r="88" spans="16:16" x14ac:dyDescent="0.25">
      <c r="P88" t="str">
        <f t="shared" si="4"/>
        <v/>
      </c>
    </row>
    <row r="89" spans="16:16" x14ac:dyDescent="0.25">
      <c r="P89" t="str">
        <f t="shared" si="4"/>
        <v/>
      </c>
    </row>
    <row r="90" spans="16:16" x14ac:dyDescent="0.25">
      <c r="P90" t="str">
        <f t="shared" si="4"/>
        <v/>
      </c>
    </row>
    <row r="91" spans="16:16" x14ac:dyDescent="0.25">
      <c r="P91" t="str">
        <f t="shared" si="4"/>
        <v/>
      </c>
    </row>
    <row r="92" spans="16:16" x14ac:dyDescent="0.25">
      <c r="P92" t="str">
        <f t="shared" si="4"/>
        <v/>
      </c>
    </row>
    <row r="93" spans="16:16" x14ac:dyDescent="0.25">
      <c r="P93" t="str">
        <f t="shared" si="4"/>
        <v/>
      </c>
    </row>
    <row r="94" spans="16:16" x14ac:dyDescent="0.25">
      <c r="P94" t="str">
        <f t="shared" si="4"/>
        <v/>
      </c>
    </row>
    <row r="95" spans="16:16" x14ac:dyDescent="0.25">
      <c r="P95" t="str">
        <f t="shared" si="4"/>
        <v/>
      </c>
    </row>
    <row r="96" spans="16:16" x14ac:dyDescent="0.25">
      <c r="P96" t="str">
        <f t="shared" si="4"/>
        <v/>
      </c>
    </row>
    <row r="97" spans="16:16" x14ac:dyDescent="0.25">
      <c r="P97" t="str">
        <f t="shared" si="4"/>
        <v/>
      </c>
    </row>
    <row r="98" spans="16:16" x14ac:dyDescent="0.25">
      <c r="P98" t="str">
        <f t="shared" si="4"/>
        <v/>
      </c>
    </row>
    <row r="99" spans="16:16" x14ac:dyDescent="0.25">
      <c r="P99" t="str">
        <f t="shared" si="4"/>
        <v/>
      </c>
    </row>
    <row r="100" spans="16:16" x14ac:dyDescent="0.25">
      <c r="P100" t="str">
        <f t="shared" si="4"/>
        <v/>
      </c>
    </row>
  </sheetData>
  <mergeCells count="2">
    <mergeCell ref="A2:Q2"/>
    <mergeCell ref="A1:Q1"/>
  </mergeCells>
  <conditionalFormatting sqref="Q5:Q100">
    <cfRule type="expression" dxfId="6" priority="1">
      <formula>ISNUMBER(SEARCH("Non-Compliant",Q5))</formula>
    </cfRule>
    <cfRule type="expression" dxfId="5" priority="2">
      <formula>ISNUMBER(SEARCH("Recommended",Q5))</formula>
    </cfRule>
    <cfRule type="expression" dxfId="4" priority="3">
      <formula>ISNUMBER(SEARCH("Pending",Q5))</formula>
    </cfRule>
  </conditionalFormatting>
  <dataValidations count="1">
    <dataValidation type="list" allowBlank="1" errorTitle="Invalid Entry" error="Select a value from the dropdown list." promptTitle="Controlled Entry" prompt="Choose a listed value." sqref="M5:M100" xr:uid="{00000000-0002-0000-0300-000000000000}">
      <formula1>"Yes,No,Pending"</formula1>
    </dataValidation>
  </dataValidations>
  <pageMargins left="0.25" right="0.25" top="0.5" bottom="0.5" header="0.5" footer="0.5"/>
  <pageSetup fitToHeight="0"/>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F4E78"/>
    <pageSetUpPr fitToPage="1"/>
  </sheetPr>
  <dimension ref="A1:L100"/>
  <sheetViews>
    <sheetView showGridLines="0" tabSelected="1" topLeftCell="C1" zoomScale="85" workbookViewId="0">
      <pane ySplit="4" topLeftCell="A5" activePane="bottomLeft" state="frozen"/>
      <selection pane="bottomLeft" activeCell="B7" sqref="A7:XFD7"/>
    </sheetView>
  </sheetViews>
  <sheetFormatPr defaultRowHeight="15" x14ac:dyDescent="0.25"/>
  <cols>
    <col min="1" max="1" width="17" customWidth="1"/>
    <col min="2" max="2" width="14" customWidth="1"/>
    <col min="3" max="3" width="25.42578125" customWidth="1"/>
    <col min="4" max="4" width="15.85546875" customWidth="1"/>
    <col min="5" max="5" width="12.5703125" customWidth="1"/>
    <col min="6" max="6" width="16" customWidth="1"/>
    <col min="7" max="7" width="16.42578125" customWidth="1"/>
    <col min="8" max="8" width="15.5703125" customWidth="1"/>
    <col min="9" max="9" width="18.42578125" customWidth="1"/>
    <col min="10" max="10" width="18.85546875" customWidth="1"/>
    <col min="11" max="11" width="20.28515625" customWidth="1"/>
    <col min="12" max="12" width="22.7109375" customWidth="1"/>
  </cols>
  <sheetData>
    <row r="1" spans="1:12" ht="30" customHeight="1" x14ac:dyDescent="0.25">
      <c r="A1" s="25" t="s">
        <v>201</v>
      </c>
      <c r="B1" s="24"/>
      <c r="C1" s="24"/>
      <c r="D1" s="24"/>
      <c r="E1" s="24"/>
      <c r="F1" s="24"/>
      <c r="G1" s="24"/>
      <c r="H1" s="24"/>
      <c r="I1" s="24"/>
      <c r="J1" s="24"/>
      <c r="K1" s="24"/>
      <c r="L1" s="24"/>
    </row>
    <row r="2" spans="1:12" ht="27" customHeight="1" x14ac:dyDescent="0.25">
      <c r="A2" s="26" t="s">
        <v>202</v>
      </c>
      <c r="B2" s="24"/>
      <c r="C2" s="24"/>
      <c r="D2" s="24"/>
      <c r="E2" s="24"/>
      <c r="F2" s="24"/>
      <c r="G2" s="24"/>
      <c r="H2" s="24"/>
      <c r="I2" s="24"/>
      <c r="J2" s="24"/>
      <c r="K2" s="24"/>
      <c r="L2" s="24"/>
    </row>
    <row r="4" spans="1:12" ht="33.950000000000003" customHeight="1" x14ac:dyDescent="0.25">
      <c r="A4" s="10" t="s">
        <v>5</v>
      </c>
      <c r="B4" s="10" t="s">
        <v>119</v>
      </c>
      <c r="C4" s="10" t="s">
        <v>120</v>
      </c>
      <c r="D4" s="10" t="s">
        <v>191</v>
      </c>
      <c r="E4" s="10" t="s">
        <v>203</v>
      </c>
      <c r="F4" s="10" t="s">
        <v>192</v>
      </c>
      <c r="G4" s="10" t="s">
        <v>204</v>
      </c>
      <c r="H4" s="10" t="s">
        <v>205</v>
      </c>
      <c r="I4" s="10" t="s">
        <v>206</v>
      </c>
      <c r="J4" s="10" t="s">
        <v>207</v>
      </c>
      <c r="K4" s="10" t="s">
        <v>208</v>
      </c>
      <c r="L4" s="10" t="s">
        <v>209</v>
      </c>
    </row>
    <row r="5" spans="1:12" x14ac:dyDescent="0.25">
      <c r="A5" s="11" t="s">
        <v>12</v>
      </c>
      <c r="B5" s="11" t="s">
        <v>130</v>
      </c>
      <c r="C5" s="11" t="s">
        <v>131</v>
      </c>
      <c r="D5" s="12">
        <f>IFERROR(INDEX('Quotation Comparison'!$J$5:$J$100,MATCH(1,INDEX(('Quotation Comparison'!$B$5:$B$100=A5)*('Quotation Comparison'!$C$5:$C$100=B5),0),0)),"")</f>
        <v>4895.7</v>
      </c>
      <c r="E5" s="13">
        <f ca="1">IF(K5&lt;&gt;"Yes","",IFERROR(MIN(100,_xlfn.MINIFS('Quotation Comparison'!$J$5:$J$100,'Quotation Comparison'!$B$5:$B$100,A5,'Quotation Comparison'!$M$5:$M$100,"Yes",'Quotation Comparison'!$Q$5:$Q$100,"Eligible")/D5*100),""))</f>
        <v>100</v>
      </c>
      <c r="F5" s="11">
        <f>IFERROR(INDEX('Quotation Comparison'!$K$5:$K$100,MATCH(1,INDEX(('Quotation Comparison'!$B$5:$B$100=A5)*('Quotation Comparison'!$C$5:$C$100=B5),0),0)),"")</f>
        <v>7</v>
      </c>
      <c r="G5" s="13">
        <f ca="1">IF(K5&lt;&gt;"Yes","",IFERROR(MIN(100,_xlfn.MINIFS('Quotation Comparison'!$K$5:$K$100,'Quotation Comparison'!$B$5:$B$100,A5,'Quotation Comparison'!$M$5:$M$100,"Yes",'Quotation Comparison'!$Q$5:$Q$100,"Eligible")/F5*100),""))</f>
        <v>71.428571428571431</v>
      </c>
      <c r="H5" s="13">
        <v>90</v>
      </c>
      <c r="I5" s="13">
        <v>80</v>
      </c>
      <c r="J5" s="13">
        <f ca="1">IF(K5&lt;&gt;"Yes","",IF(COUNT(E5,G5,H5,I5)&lt;4,"",E5*30%+G5*25%+H5*25%+I5*20%))</f>
        <v>86.357142857142861</v>
      </c>
      <c r="K5" s="11" t="str">
        <f>IFERROR(INDEX('Quotation Comparison'!$M$5:$M$100,MATCH(1,INDEX(('Quotation Comparison'!$B$5:$B$100=A5)*('Quotation Comparison'!$C$5:$C$100=B5),0),0)),"Pending")</f>
        <v>Yes</v>
      </c>
      <c r="L5" s="11" t="str">
        <f t="shared" ref="L5:L14" ca="1" si="0">IF(K5&lt;&gt;"Yes","Not Eligible",IF(J5="","Pending Evaluation",IF(J5&gt;=80,"Recommended for Review","Alternative for Review")))</f>
        <v>Recommended for Review</v>
      </c>
    </row>
    <row r="6" spans="1:12" x14ac:dyDescent="0.25">
      <c r="A6" s="14" t="s">
        <v>12</v>
      </c>
      <c r="B6" s="14" t="s">
        <v>138</v>
      </c>
      <c r="C6" s="14" t="s">
        <v>139</v>
      </c>
      <c r="D6" s="15">
        <f>IFERROR(INDEX('Quotation Comparison'!$J$5:$J$100,MATCH(1,INDEX(('Quotation Comparison'!$B$5:$B$100=A6)*('Quotation Comparison'!$C$5:$C$100=B6),0),0)),"")</f>
        <v>5020.3999999999996</v>
      </c>
      <c r="E6" s="13">
        <f ca="1">IF(K6&lt;&gt;"Yes","",IFERROR(MIN(100,_xlfn.MINIFS('Quotation Comparison'!$J$5:$J$100,'Quotation Comparison'!$B$5:$B$100,A6,'Quotation Comparison'!$M$5:$M$100,"Yes",'Quotation Comparison'!$Q$5:$Q$100,"Eligible")/D6*100),""))</f>
        <v>97.516134172575903</v>
      </c>
      <c r="F6" s="14">
        <f>IFERROR(INDEX('Quotation Comparison'!$K$5:$K$100,MATCH(1,INDEX(('Quotation Comparison'!$B$5:$B$100=A6)*('Quotation Comparison'!$C$5:$C$100=B6),0),0)),"")</f>
        <v>5</v>
      </c>
      <c r="G6" s="13">
        <f ca="1">IF(K6&lt;&gt;"Yes","",IFERROR(MIN(100,_xlfn.MINIFS('Quotation Comparison'!$K$5:$K$100,'Quotation Comparison'!$B$5:$B$100,A6,'Quotation Comparison'!$M$5:$M$100,"Yes",'Quotation Comparison'!$Q$5:$Q$100,"Eligible")/F6*100),""))</f>
        <v>100</v>
      </c>
      <c r="H6" s="16">
        <v>85</v>
      </c>
      <c r="I6" s="16">
        <v>90</v>
      </c>
      <c r="J6" s="13">
        <f t="shared" ref="J6:J14" ca="1" si="1">IF(K6&lt;&gt;"Yes","",IF(COUNT(E6,G6,H6,I6)&lt;4,"",E6*30%+G6*25%+H6*25%+I6*20%))</f>
        <v>93.504840251772777</v>
      </c>
      <c r="K6" s="14" t="str">
        <f>IFERROR(INDEX('Quotation Comparison'!$M$5:$M$100,MATCH(1,INDEX(('Quotation Comparison'!$B$5:$B$100=A6)*('Quotation Comparison'!$C$5:$C$100=B6),0),0)),"Pending")</f>
        <v>Yes</v>
      </c>
      <c r="L6" s="14" t="str">
        <f t="shared" ca="1" si="0"/>
        <v>Recommended for Review</v>
      </c>
    </row>
    <row r="7" spans="1:12" x14ac:dyDescent="0.25">
      <c r="A7" s="11" t="s">
        <v>12</v>
      </c>
      <c r="B7" s="11" t="s">
        <v>143</v>
      </c>
      <c r="C7" s="11" t="s">
        <v>144</v>
      </c>
      <c r="D7" s="12">
        <f>IFERROR(INDEX('Quotation Comparison'!$J$5:$J$100,MATCH(1,INDEX(('Quotation Comparison'!$B$5:$B$100=A7)*('Quotation Comparison'!$C$5:$C$100=B7),0),0)),"")</f>
        <v>4617.7</v>
      </c>
      <c r="E7" s="13" t="str">
        <f>IF(K7&lt;&gt;"Yes","",IFERROR(MIN(100,_xlfn.MINIFS('Quotation Comparison'!$J$5:$J$100,'Quotation Comparison'!$B$5:$B$100,A7,'Quotation Comparison'!$M$5:$M$100,"Yes",'Quotation Comparison'!$Q$5:$Q$100,"Eligible")/D7*100),""))</f>
        <v/>
      </c>
      <c r="F7" s="11">
        <f>IFERROR(INDEX('Quotation Comparison'!$K$5:$K$100,MATCH(1,INDEX(('Quotation Comparison'!$B$5:$B$100=A7)*('Quotation Comparison'!$C$5:$C$100=B7),0),0)),"")</f>
        <v>10</v>
      </c>
      <c r="G7" s="13" t="str">
        <f>IF(K7&lt;&gt;"Yes","",IFERROR(MIN(100,_xlfn.MINIFS('Quotation Comparison'!$K$5:$K$100,'Quotation Comparison'!$B$5:$B$100,A7,'Quotation Comparison'!$M$5:$M$100,"Yes",'Quotation Comparison'!$Q$5:$Q$100,"Eligible")/F7*100),""))</f>
        <v/>
      </c>
      <c r="H7" s="13">
        <v>88</v>
      </c>
      <c r="I7" s="13">
        <v>75</v>
      </c>
      <c r="J7" s="13" t="str">
        <f t="shared" si="1"/>
        <v/>
      </c>
      <c r="K7" s="11" t="str">
        <f>IFERROR(INDEX('Quotation Comparison'!$M$5:$M$100,MATCH(1,INDEX(('Quotation Comparison'!$B$5:$B$100=A7)*('Quotation Comparison'!$C$5:$C$100=B7),0),0)),"Pending")</f>
        <v>No</v>
      </c>
      <c r="L7" s="11" t="str">
        <f t="shared" si="0"/>
        <v>Not Eligible</v>
      </c>
    </row>
    <row r="8" spans="1:12" x14ac:dyDescent="0.25">
      <c r="A8" s="14" t="s">
        <v>14</v>
      </c>
      <c r="B8" s="14" t="s">
        <v>148</v>
      </c>
      <c r="C8" s="14" t="s">
        <v>149</v>
      </c>
      <c r="D8" s="15">
        <f>IFERROR(INDEX('Quotation Comparison'!$J$5:$J$100,MATCH(1,INDEX(('Quotation Comparison'!$B$5:$B$100=A8)*('Quotation Comparison'!$C$5:$C$100=B8),0),0)),"")</f>
        <v>16668.599999999999</v>
      </c>
      <c r="E8" s="13">
        <f ca="1">IF(K8&lt;&gt;"Yes","",IFERROR(MIN(100,_xlfn.MINIFS('Quotation Comparison'!$J$5:$J$100,'Quotation Comparison'!$B$5:$B$100,A8,'Quotation Comparison'!$M$5:$M$100,"Yes",'Quotation Comparison'!$Q$5:$Q$100,"Eligible")/D8*100),""))</f>
        <v>100</v>
      </c>
      <c r="F8" s="14">
        <f>IFERROR(INDEX('Quotation Comparison'!$K$5:$K$100,MATCH(1,INDEX(('Quotation Comparison'!$B$5:$B$100=A8)*('Quotation Comparison'!$C$5:$C$100=B8),0),0)),"")</f>
        <v>8</v>
      </c>
      <c r="G8" s="13">
        <f ca="1">IF(K8&lt;&gt;"Yes","",IFERROR(MIN(100,_xlfn.MINIFS('Quotation Comparison'!$K$5:$K$100,'Quotation Comparison'!$B$5:$B$100,A8,'Quotation Comparison'!$M$5:$M$100,"Yes",'Quotation Comparison'!$Q$5:$Q$100,"Eligible")/F8*100),""))</f>
        <v>100</v>
      </c>
      <c r="H8" s="16">
        <v>92</v>
      </c>
      <c r="I8" s="16">
        <v>80</v>
      </c>
      <c r="J8" s="13">
        <f t="shared" ca="1" si="1"/>
        <v>94</v>
      </c>
      <c r="K8" s="14" t="str">
        <f>IFERROR(INDEX('Quotation Comparison'!$M$5:$M$100,MATCH(1,INDEX(('Quotation Comparison'!$B$5:$B$100=A8)*('Quotation Comparison'!$C$5:$C$100=B8),0),0)),"Pending")</f>
        <v>Yes</v>
      </c>
      <c r="L8" s="14" t="str">
        <f t="shared" ca="1" si="0"/>
        <v>Recommended for Review</v>
      </c>
    </row>
    <row r="9" spans="1:12" x14ac:dyDescent="0.25">
      <c r="A9" s="11" t="s">
        <v>14</v>
      </c>
      <c r="B9" s="11" t="s">
        <v>153</v>
      </c>
      <c r="C9" s="11" t="s">
        <v>154</v>
      </c>
      <c r="D9" s="12">
        <f>IFERROR(INDEX('Quotation Comparison'!$J$5:$J$100,MATCH(1,INDEX(('Quotation Comparison'!$B$5:$B$100=A9)*('Quotation Comparison'!$C$5:$C$100=B9),0),0)),"")</f>
        <v>16727.2</v>
      </c>
      <c r="E9" s="13">
        <f ca="1">IF(K9&lt;&gt;"Yes","",IFERROR(MIN(100,_xlfn.MINIFS('Quotation Comparison'!$J$5:$J$100,'Quotation Comparison'!$B$5:$B$100,A9,'Quotation Comparison'!$M$5:$M$100,"Yes",'Quotation Comparison'!$Q$5:$Q$100,"Eligible")/D9*100),""))</f>
        <v>99.649672389879939</v>
      </c>
      <c r="F9" s="11">
        <f>IFERROR(INDEX('Quotation Comparison'!$K$5:$K$100,MATCH(1,INDEX(('Quotation Comparison'!$B$5:$B$100=A9)*('Quotation Comparison'!$C$5:$C$100=B9),0),0)),"")</f>
        <v>12</v>
      </c>
      <c r="G9" s="13">
        <f ca="1">IF(K9&lt;&gt;"Yes","",IFERROR(MIN(100,_xlfn.MINIFS('Quotation Comparison'!$K$5:$K$100,'Quotation Comparison'!$B$5:$B$100,A9,'Quotation Comparison'!$M$5:$M$100,"Yes",'Quotation Comparison'!$Q$5:$Q$100,"Eligible")/F9*100),""))</f>
        <v>66.666666666666657</v>
      </c>
      <c r="H9" s="13">
        <v>88</v>
      </c>
      <c r="I9" s="13">
        <v>90</v>
      </c>
      <c r="J9" s="13">
        <f t="shared" ca="1" si="1"/>
        <v>86.561568383630643</v>
      </c>
      <c r="K9" s="11" t="str">
        <f>IFERROR(INDEX('Quotation Comparison'!$M$5:$M$100,MATCH(1,INDEX(('Quotation Comparison'!$B$5:$B$100=A9)*('Quotation Comparison'!$C$5:$C$100=B9),0),0)),"Pending")</f>
        <v>Yes</v>
      </c>
      <c r="L9" s="11" t="str">
        <f t="shared" ca="1" si="0"/>
        <v>Recommended for Review</v>
      </c>
    </row>
    <row r="10" spans="1:12" x14ac:dyDescent="0.25">
      <c r="A10" s="14" t="s">
        <v>16</v>
      </c>
      <c r="B10" s="14" t="s">
        <v>162</v>
      </c>
      <c r="C10" s="14" t="s">
        <v>163</v>
      </c>
      <c r="D10" s="15">
        <f>IFERROR(INDEX('Quotation Comparison'!$J$5:$J$100,MATCH(1,INDEX(('Quotation Comparison'!$B$5:$B$100=A10)*('Quotation Comparison'!$C$5:$C$100=B10),0),0)),"")</f>
        <v>9196.32</v>
      </c>
      <c r="E10" s="13">
        <f ca="1">IF(K10&lt;&gt;"Yes","",IFERROR(MIN(100,_xlfn.MINIFS('Quotation Comparison'!$J$5:$J$100,'Quotation Comparison'!$B$5:$B$100,A10,'Quotation Comparison'!$M$5:$M$100,"Yes",'Quotation Comparison'!$Q$5:$Q$100,"Eligible")/D10*100),""))</f>
        <v>94.766167336499819</v>
      </c>
      <c r="F10" s="14">
        <f>IFERROR(INDEX('Quotation Comparison'!$K$5:$K$100,MATCH(1,INDEX(('Quotation Comparison'!$B$5:$B$100=A10)*('Quotation Comparison'!$C$5:$C$100=B10),0),0)),"")</f>
        <v>5</v>
      </c>
      <c r="G10" s="13">
        <f ca="1">IF(K10&lt;&gt;"Yes","",IFERROR(MIN(100,_xlfn.MINIFS('Quotation Comparison'!$K$5:$K$100,'Quotation Comparison'!$B$5:$B$100,A10,'Quotation Comparison'!$M$5:$M$100,"Yes",'Quotation Comparison'!$Q$5:$Q$100,"Eligible")/F10*100),""))</f>
        <v>100</v>
      </c>
      <c r="H10" s="16">
        <v>90</v>
      </c>
      <c r="I10" s="16">
        <v>85</v>
      </c>
      <c r="J10" s="13">
        <f t="shared" ca="1" si="1"/>
        <v>92.929850200949943</v>
      </c>
      <c r="K10" s="14" t="str">
        <f>IFERROR(INDEX('Quotation Comparison'!$M$5:$M$100,MATCH(1,INDEX(('Quotation Comparison'!$B$5:$B$100=A10)*('Quotation Comparison'!$C$5:$C$100=B10),0),0)),"Pending")</f>
        <v>Yes</v>
      </c>
      <c r="L10" s="14" t="str">
        <f t="shared" ca="1" si="0"/>
        <v>Recommended for Review</v>
      </c>
    </row>
    <row r="11" spans="1:12" x14ac:dyDescent="0.25">
      <c r="A11" s="11" t="s">
        <v>16</v>
      </c>
      <c r="B11" s="11" t="s">
        <v>168</v>
      </c>
      <c r="C11" s="11" t="s">
        <v>169</v>
      </c>
      <c r="D11" s="12">
        <f>IFERROR(INDEX('Quotation Comparison'!$J$5:$J$100,MATCH(1,INDEX(('Quotation Comparison'!$B$5:$B$100=A11)*('Quotation Comparison'!$C$5:$C$100=B11),0),0)),"")</f>
        <v>8715</v>
      </c>
      <c r="E11" s="13">
        <f ca="1">IF(K11&lt;&gt;"Yes","",IFERROR(MIN(100,_xlfn.MINIFS('Quotation Comparison'!$J$5:$J$100,'Quotation Comparison'!$B$5:$B$100,A11,'Quotation Comparison'!$M$5:$M$100,"Yes",'Quotation Comparison'!$Q$5:$Q$100,"Eligible")/D11*100),""))</f>
        <v>100</v>
      </c>
      <c r="F11" s="11">
        <f>IFERROR(INDEX('Quotation Comparison'!$K$5:$K$100,MATCH(1,INDEX(('Quotation Comparison'!$B$5:$B$100=A11)*('Quotation Comparison'!$C$5:$C$100=B11),0),0)),"")</f>
        <v>14</v>
      </c>
      <c r="G11" s="13">
        <f ca="1">IF(K11&lt;&gt;"Yes","",IFERROR(MIN(100,_xlfn.MINIFS('Quotation Comparison'!$K$5:$K$100,'Quotation Comparison'!$B$5:$B$100,A11,'Quotation Comparison'!$M$5:$M$100,"Yes",'Quotation Comparison'!$Q$5:$Q$100,"Eligible")/F11*100),""))</f>
        <v>35.714285714285715</v>
      </c>
      <c r="H11" s="13">
        <v>85</v>
      </c>
      <c r="I11" s="13">
        <v>95</v>
      </c>
      <c r="J11" s="13">
        <f t="shared" ca="1" si="1"/>
        <v>79.178571428571431</v>
      </c>
      <c r="K11" s="11" t="str">
        <f>IFERROR(INDEX('Quotation Comparison'!$M$5:$M$100,MATCH(1,INDEX(('Quotation Comparison'!$B$5:$B$100=A11)*('Quotation Comparison'!$C$5:$C$100=B11),0),0)),"Pending")</f>
        <v>Yes</v>
      </c>
      <c r="L11" s="11" t="str">
        <f t="shared" ca="1" si="0"/>
        <v>Alternative for Review</v>
      </c>
    </row>
    <row r="12" spans="1:12" x14ac:dyDescent="0.25">
      <c r="A12" s="14" t="s">
        <v>18</v>
      </c>
      <c r="B12" s="14" t="s">
        <v>130</v>
      </c>
      <c r="C12" s="14" t="s">
        <v>131</v>
      </c>
      <c r="D12" s="15">
        <f>IFERROR(INDEX('Quotation Comparison'!$J$5:$J$100,MATCH(1,INDEX(('Quotation Comparison'!$B$5:$B$100=A12)*('Quotation Comparison'!$C$5:$C$100=B12),0),0)),"")</f>
        <v>3730.8</v>
      </c>
      <c r="E12" s="13">
        <f ca="1">IF(K12&lt;&gt;"Yes","",IFERROR(MIN(100,_xlfn.MINIFS('Quotation Comparison'!$J$5:$J$100,'Quotation Comparison'!$B$5:$B$100,A12,'Quotation Comparison'!$M$5:$M$100,"Yes",'Quotation Comparison'!$Q$5:$Q$100,"Eligible")/D12*100),""))</f>
        <v>100</v>
      </c>
      <c r="F12" s="14">
        <f>IFERROR(INDEX('Quotation Comparison'!$K$5:$K$100,MATCH(1,INDEX(('Quotation Comparison'!$B$5:$B$100=A12)*('Quotation Comparison'!$C$5:$C$100=B12),0),0)),"")</f>
        <v>6</v>
      </c>
      <c r="G12" s="13">
        <f ca="1">IF(K12&lt;&gt;"Yes","",IFERROR(MIN(100,_xlfn.MINIFS('Quotation Comparison'!$K$5:$K$100,'Quotation Comparison'!$B$5:$B$100,A12,'Quotation Comparison'!$M$5:$M$100,"Yes",'Quotation Comparison'!$Q$5:$Q$100,"Eligible")/F12*100),""))</f>
        <v>100</v>
      </c>
      <c r="H12" s="16">
        <v>90</v>
      </c>
      <c r="I12" s="16">
        <v>80</v>
      </c>
      <c r="J12" s="13">
        <f t="shared" ca="1" si="1"/>
        <v>93.5</v>
      </c>
      <c r="K12" s="14" t="str">
        <f>IFERROR(INDEX('Quotation Comparison'!$M$5:$M$100,MATCH(1,INDEX(('Quotation Comparison'!$B$5:$B$100=A12)*('Quotation Comparison'!$C$5:$C$100=B12),0),0)),"Pending")</f>
        <v>Yes</v>
      </c>
      <c r="L12" s="14" t="str">
        <f t="shared" ca="1" si="0"/>
        <v>Recommended for Review</v>
      </c>
    </row>
    <row r="13" spans="1:12" x14ac:dyDescent="0.25">
      <c r="A13" s="11" t="s">
        <v>18</v>
      </c>
      <c r="B13" s="11" t="s">
        <v>179</v>
      </c>
      <c r="C13" s="11" t="s">
        <v>180</v>
      </c>
      <c r="D13" s="12">
        <f>IFERROR(INDEX('Quotation Comparison'!$J$5:$J$100,MATCH(1,INDEX(('Quotation Comparison'!$B$5:$B$100=A13)*('Quotation Comparison'!$C$5:$C$100=B13),0),0)),"")</f>
        <v>3729</v>
      </c>
      <c r="E13" s="13" t="str">
        <f>IF(K13&lt;&gt;"Yes","",IFERROR(MIN(100,_xlfn.MINIFS('Quotation Comparison'!$J$5:$J$100,'Quotation Comparison'!$B$5:$B$100,A13,'Quotation Comparison'!$M$5:$M$100,"Yes",'Quotation Comparison'!$Q$5:$Q$100,"Eligible")/D13*100),""))</f>
        <v/>
      </c>
      <c r="F13" s="11">
        <f>IFERROR(INDEX('Quotation Comparison'!$K$5:$K$100,MATCH(1,INDEX(('Quotation Comparison'!$B$5:$B$100=A13)*('Quotation Comparison'!$C$5:$C$100=B13),0),0)),"")</f>
        <v>9</v>
      </c>
      <c r="G13" s="13" t="str">
        <f>IF(K13&lt;&gt;"Yes","",IFERROR(MIN(100,_xlfn.MINIFS('Quotation Comparison'!$K$5:$K$100,'Quotation Comparison'!$B$5:$B$100,A13,'Quotation Comparison'!$M$5:$M$100,"Yes",'Quotation Comparison'!$Q$5:$Q$100,"Eligible")/F13*100),""))</f>
        <v/>
      </c>
      <c r="H13" s="13">
        <v>90</v>
      </c>
      <c r="I13" s="13">
        <v>80</v>
      </c>
      <c r="J13" s="13" t="str">
        <f t="shared" si="1"/>
        <v/>
      </c>
      <c r="K13" s="11" t="str">
        <f>IFERROR(INDEX('Quotation Comparison'!$M$5:$M$100,MATCH(1,INDEX(('Quotation Comparison'!$B$5:$B$100=A13)*('Quotation Comparison'!$C$5:$C$100=B13),0),0)),"Pending")</f>
        <v>Pending</v>
      </c>
      <c r="L13" s="11" t="str">
        <f t="shared" si="0"/>
        <v>Not Eligible</v>
      </c>
    </row>
    <row r="14" spans="1:12" x14ac:dyDescent="0.25">
      <c r="A14" s="14" t="s">
        <v>18</v>
      </c>
      <c r="B14" s="14" t="s">
        <v>183</v>
      </c>
      <c r="C14" s="14" t="s">
        <v>184</v>
      </c>
      <c r="D14" s="15">
        <f>IFERROR(INDEX('Quotation Comparison'!$J$5:$J$100,MATCH(1,INDEX(('Quotation Comparison'!$B$5:$B$100=A14)*('Quotation Comparison'!$C$5:$C$100=B14),0),0)),"")</f>
        <v>3736.56</v>
      </c>
      <c r="E14" s="13">
        <f ca="1">IF(K14&lt;&gt;"Yes","",IFERROR(MIN(100,_xlfn.MINIFS('Quotation Comparison'!$J$5:$J$100,'Quotation Comparison'!$B$5:$B$100,A14,'Quotation Comparison'!$M$5:$M$100,"Yes",'Quotation Comparison'!$Q$5:$Q$100,"Eligible")/D14*100),""))</f>
        <v>99.845847517502733</v>
      </c>
      <c r="F14" s="14">
        <f>IFERROR(INDEX('Quotation Comparison'!$K$5:$K$100,MATCH(1,INDEX(('Quotation Comparison'!$B$5:$B$100=A14)*('Quotation Comparison'!$C$5:$C$100=B14),0),0)),"")</f>
        <v>7</v>
      </c>
      <c r="G14" s="13">
        <f ca="1">IF(K14&lt;&gt;"Yes","",IFERROR(MIN(100,_xlfn.MINIFS('Quotation Comparison'!$K$5:$K$100,'Quotation Comparison'!$B$5:$B$100,A14,'Quotation Comparison'!$M$5:$M$100,"Yes",'Quotation Comparison'!$Q$5:$Q$100,"Eligible")/F14*100),""))</f>
        <v>85.714285714285708</v>
      </c>
      <c r="H14" s="16">
        <v>88</v>
      </c>
      <c r="I14" s="16">
        <v>85</v>
      </c>
      <c r="J14" s="13">
        <f t="shared" ca="1" si="1"/>
        <v>90.382325683822245</v>
      </c>
      <c r="K14" s="14" t="str">
        <f>IFERROR(INDEX('Quotation Comparison'!$M$5:$M$100,MATCH(1,INDEX(('Quotation Comparison'!$B$5:$B$100=A14)*('Quotation Comparison'!$C$5:$C$100=B14),0),0)),"Pending")</f>
        <v>Yes</v>
      </c>
      <c r="L14" s="14" t="str">
        <f t="shared" ca="1" si="0"/>
        <v>Recommended for Review</v>
      </c>
    </row>
    <row r="15" spans="1:12" x14ac:dyDescent="0.25">
      <c r="E15" t="str">
        <f>IF(OR(D15="",K15&lt;&gt;"Yes"),"",IFERROR(_xludf.MINIFS('Quotation Comparison'!$J$5:$J$100,'Quotation Comparison'!$B$5:$B$100,A15,'Quotation Comparison'!$M$5:$M$100,"Yes",'Quotation Comparison'!$Q$5:$Q$100,"Eligible")/D15*100,""))</f>
        <v/>
      </c>
      <c r="G15" t="str">
        <f>IF(OR(F15="",K15&lt;&gt;"Yes"),"",IFERROR(_xludf.MINIFS('Quotation Comparison'!$K$5:$K$100,'Quotation Comparison'!$B$5:$B$100,A15,'Quotation Comparison'!$M$5:$M$100,"Yes",'Quotation Comparison'!$Q$5:$Q$100,"Eligible")/F15*100,""))</f>
        <v/>
      </c>
      <c r="J15" t="str">
        <f t="shared" ref="J15:J36" si="2">IF(OR(K15&lt;&gt;"Yes",E15="",G15="",H15="",I15=""),"",ROUND(E15*50%+G15*20%+H15*20%+I15*10%,1))</f>
        <v/>
      </c>
    </row>
    <row r="16" spans="1:12" x14ac:dyDescent="0.25">
      <c r="E16" t="str">
        <f>IF(OR(D16="",K16&lt;&gt;"Yes"),"",IFERROR(_xludf.MINIFS('Quotation Comparison'!$J$5:$J$100,'Quotation Comparison'!$B$5:$B$100,A16,'Quotation Comparison'!$M$5:$M$100,"Yes",'Quotation Comparison'!$Q$5:$Q$100,"Eligible")/D16*100,""))</f>
        <v/>
      </c>
      <c r="G16" t="str">
        <f>IF(OR(F16="",K16&lt;&gt;"Yes"),"",IFERROR(_xludf.MINIFS('Quotation Comparison'!$K$5:$K$100,'Quotation Comparison'!$B$5:$B$100,A16,'Quotation Comparison'!$M$5:$M$100,"Yes",'Quotation Comparison'!$Q$5:$Q$100,"Eligible")/F16*100,""))</f>
        <v/>
      </c>
      <c r="J16" t="str">
        <f t="shared" si="2"/>
        <v/>
      </c>
    </row>
    <row r="17" spans="5:10" x14ac:dyDescent="0.25">
      <c r="E17" t="str">
        <f>IF(OR(D17="",K17&lt;&gt;"Yes"),"",IFERROR(_xludf.MINIFS('Quotation Comparison'!$J$5:$J$100,'Quotation Comparison'!$B$5:$B$100,A17,'Quotation Comparison'!$M$5:$M$100,"Yes",'Quotation Comparison'!$Q$5:$Q$100,"Eligible")/D17*100,""))</f>
        <v/>
      </c>
      <c r="G17" t="str">
        <f>IF(OR(F17="",K17&lt;&gt;"Yes"),"",IFERROR(_xludf.MINIFS('Quotation Comparison'!$K$5:$K$100,'Quotation Comparison'!$B$5:$B$100,A17,'Quotation Comparison'!$M$5:$M$100,"Yes",'Quotation Comparison'!$Q$5:$Q$100,"Eligible")/F17*100,""))</f>
        <v/>
      </c>
      <c r="J17" t="str">
        <f t="shared" si="2"/>
        <v/>
      </c>
    </row>
    <row r="18" spans="5:10" x14ac:dyDescent="0.25">
      <c r="E18" t="str">
        <f>IF(OR(D18="",K18&lt;&gt;"Yes"),"",IFERROR(_xludf.MINIFS('Quotation Comparison'!$J$5:$J$100,'Quotation Comparison'!$B$5:$B$100,A18,'Quotation Comparison'!$M$5:$M$100,"Yes",'Quotation Comparison'!$Q$5:$Q$100,"Eligible")/D18*100,""))</f>
        <v/>
      </c>
      <c r="G18" t="str">
        <f>IF(OR(F18="",K18&lt;&gt;"Yes"),"",IFERROR(_xludf.MINIFS('Quotation Comparison'!$K$5:$K$100,'Quotation Comparison'!$B$5:$B$100,A18,'Quotation Comparison'!$M$5:$M$100,"Yes",'Quotation Comparison'!$Q$5:$Q$100,"Eligible")/F18*100,""))</f>
        <v/>
      </c>
      <c r="J18" t="str">
        <f t="shared" si="2"/>
        <v/>
      </c>
    </row>
    <row r="19" spans="5:10" x14ac:dyDescent="0.25">
      <c r="E19" t="str">
        <f>IF(OR(D19="",K19&lt;&gt;"Yes"),"",IFERROR(_xludf.MINIFS('Quotation Comparison'!$J$5:$J$100,'Quotation Comparison'!$B$5:$B$100,A19,'Quotation Comparison'!$M$5:$M$100,"Yes",'Quotation Comparison'!$Q$5:$Q$100,"Eligible")/D19*100,""))</f>
        <v/>
      </c>
      <c r="G19" t="str">
        <f>IF(OR(F19="",K19&lt;&gt;"Yes"),"",IFERROR(_xludf.MINIFS('Quotation Comparison'!$K$5:$K$100,'Quotation Comparison'!$B$5:$B$100,A19,'Quotation Comparison'!$M$5:$M$100,"Yes",'Quotation Comparison'!$Q$5:$Q$100,"Eligible")/F19*100,""))</f>
        <v/>
      </c>
      <c r="J19" t="str">
        <f t="shared" si="2"/>
        <v/>
      </c>
    </row>
    <row r="20" spans="5:10" x14ac:dyDescent="0.25">
      <c r="E20" t="str">
        <f>IF(OR(D20="",K20&lt;&gt;"Yes"),"",IFERROR(_xludf.MINIFS('Quotation Comparison'!$J$5:$J$100,'Quotation Comparison'!$B$5:$B$100,A20,'Quotation Comparison'!$M$5:$M$100,"Yes",'Quotation Comparison'!$Q$5:$Q$100,"Eligible")/D20*100,""))</f>
        <v/>
      </c>
      <c r="G20" t="str">
        <f>IF(OR(F20="",K20&lt;&gt;"Yes"),"",IFERROR(_xludf.MINIFS('Quotation Comparison'!$K$5:$K$100,'Quotation Comparison'!$B$5:$B$100,A20,'Quotation Comparison'!$M$5:$M$100,"Yes",'Quotation Comparison'!$Q$5:$Q$100,"Eligible")/F20*100,""))</f>
        <v/>
      </c>
      <c r="J20" t="str">
        <f t="shared" si="2"/>
        <v/>
      </c>
    </row>
    <row r="21" spans="5:10" x14ac:dyDescent="0.25">
      <c r="E21" t="str">
        <f>IF(OR(D21="",K21&lt;&gt;"Yes"),"",IFERROR(_xludf.MINIFS('Quotation Comparison'!$J$5:$J$100,'Quotation Comparison'!$B$5:$B$100,A21,'Quotation Comparison'!$M$5:$M$100,"Yes",'Quotation Comparison'!$Q$5:$Q$100,"Eligible")/D21*100,""))</f>
        <v/>
      </c>
      <c r="G21" t="str">
        <f>IF(OR(F21="",K21&lt;&gt;"Yes"),"",IFERROR(_xludf.MINIFS('Quotation Comparison'!$K$5:$K$100,'Quotation Comparison'!$B$5:$B$100,A21,'Quotation Comparison'!$M$5:$M$100,"Yes",'Quotation Comparison'!$Q$5:$Q$100,"Eligible")/F21*100,""))</f>
        <v/>
      </c>
      <c r="J21" t="str">
        <f t="shared" si="2"/>
        <v/>
      </c>
    </row>
    <row r="22" spans="5:10" x14ac:dyDescent="0.25">
      <c r="E22" t="str">
        <f>IF(OR(D22="",K22&lt;&gt;"Yes"),"",IFERROR(_xludf.MINIFS('Quotation Comparison'!$J$5:$J$100,'Quotation Comparison'!$B$5:$B$100,A22,'Quotation Comparison'!$M$5:$M$100,"Yes",'Quotation Comparison'!$Q$5:$Q$100,"Eligible")/D22*100,""))</f>
        <v/>
      </c>
      <c r="G22" t="str">
        <f>IF(OR(F22="",K22&lt;&gt;"Yes"),"",IFERROR(_xludf.MINIFS('Quotation Comparison'!$K$5:$K$100,'Quotation Comparison'!$B$5:$B$100,A22,'Quotation Comparison'!$M$5:$M$100,"Yes",'Quotation Comparison'!$Q$5:$Q$100,"Eligible")/F22*100,""))</f>
        <v/>
      </c>
      <c r="J22" t="str">
        <f t="shared" si="2"/>
        <v/>
      </c>
    </row>
    <row r="23" spans="5:10" x14ac:dyDescent="0.25">
      <c r="E23" t="str">
        <f>IF(OR(D23="",K23&lt;&gt;"Yes"),"",IFERROR(_xludf.MINIFS('Quotation Comparison'!$J$5:$J$100,'Quotation Comparison'!$B$5:$B$100,A23,'Quotation Comparison'!$M$5:$M$100,"Yes",'Quotation Comparison'!$Q$5:$Q$100,"Eligible")/D23*100,""))</f>
        <v/>
      </c>
      <c r="G23" t="str">
        <f>IF(OR(F23="",K23&lt;&gt;"Yes"),"",IFERROR(_xludf.MINIFS('Quotation Comparison'!$K$5:$K$100,'Quotation Comparison'!$B$5:$B$100,A23,'Quotation Comparison'!$M$5:$M$100,"Yes",'Quotation Comparison'!$Q$5:$Q$100,"Eligible")/F23*100,""))</f>
        <v/>
      </c>
      <c r="J23" t="str">
        <f t="shared" si="2"/>
        <v/>
      </c>
    </row>
    <row r="24" spans="5:10" x14ac:dyDescent="0.25">
      <c r="E24" t="str">
        <f>IF(OR(D24="",K24&lt;&gt;"Yes"),"",IFERROR(_xludf.MINIFS('Quotation Comparison'!$J$5:$J$100,'Quotation Comparison'!$B$5:$B$100,A24,'Quotation Comparison'!$M$5:$M$100,"Yes",'Quotation Comparison'!$Q$5:$Q$100,"Eligible")/D24*100,""))</f>
        <v/>
      </c>
      <c r="G24" t="str">
        <f>IF(OR(F24="",K24&lt;&gt;"Yes"),"",IFERROR(_xludf.MINIFS('Quotation Comparison'!$K$5:$K$100,'Quotation Comparison'!$B$5:$B$100,A24,'Quotation Comparison'!$M$5:$M$100,"Yes",'Quotation Comparison'!$Q$5:$Q$100,"Eligible")/F24*100,""))</f>
        <v/>
      </c>
      <c r="J24" t="str">
        <f t="shared" si="2"/>
        <v/>
      </c>
    </row>
    <row r="25" spans="5:10" x14ac:dyDescent="0.25">
      <c r="E25" t="str">
        <f>IF(OR(D25="",K25&lt;&gt;"Yes"),"",IFERROR(_xludf.MINIFS('Quotation Comparison'!$J$5:$J$100,'Quotation Comparison'!$B$5:$B$100,A25,'Quotation Comparison'!$M$5:$M$100,"Yes",'Quotation Comparison'!$Q$5:$Q$100,"Eligible")/D25*100,""))</f>
        <v/>
      </c>
      <c r="G25" t="str">
        <f>IF(OR(F25="",K25&lt;&gt;"Yes"),"",IFERROR(_xludf.MINIFS('Quotation Comparison'!$K$5:$K$100,'Quotation Comparison'!$B$5:$B$100,A25,'Quotation Comparison'!$M$5:$M$100,"Yes",'Quotation Comparison'!$Q$5:$Q$100,"Eligible")/F25*100,""))</f>
        <v/>
      </c>
      <c r="J25" t="str">
        <f t="shared" si="2"/>
        <v/>
      </c>
    </row>
    <row r="26" spans="5:10" x14ac:dyDescent="0.25">
      <c r="E26" t="str">
        <f>IF(OR(D26="",K26&lt;&gt;"Yes"),"",IFERROR(_xludf.MINIFS('Quotation Comparison'!$J$5:$J$100,'Quotation Comparison'!$B$5:$B$100,A26,'Quotation Comparison'!$M$5:$M$100,"Yes",'Quotation Comparison'!$Q$5:$Q$100,"Eligible")/D26*100,""))</f>
        <v/>
      </c>
      <c r="G26" t="str">
        <f>IF(OR(F26="",K26&lt;&gt;"Yes"),"",IFERROR(_xludf.MINIFS('Quotation Comparison'!$K$5:$K$100,'Quotation Comparison'!$B$5:$B$100,A26,'Quotation Comparison'!$M$5:$M$100,"Yes",'Quotation Comparison'!$Q$5:$Q$100,"Eligible")/F26*100,""))</f>
        <v/>
      </c>
      <c r="J26" t="str">
        <f t="shared" si="2"/>
        <v/>
      </c>
    </row>
    <row r="27" spans="5:10" x14ac:dyDescent="0.25">
      <c r="E27" t="str">
        <f>IF(OR(D27="",K27&lt;&gt;"Yes"),"",IFERROR(_xludf.MINIFS('Quotation Comparison'!$J$5:$J$100,'Quotation Comparison'!$B$5:$B$100,A27,'Quotation Comparison'!$M$5:$M$100,"Yes",'Quotation Comparison'!$Q$5:$Q$100,"Eligible")/D27*100,""))</f>
        <v/>
      </c>
      <c r="G27" t="str">
        <f>IF(OR(F27="",K27&lt;&gt;"Yes"),"",IFERROR(_xludf.MINIFS('Quotation Comparison'!$K$5:$K$100,'Quotation Comparison'!$B$5:$B$100,A27,'Quotation Comparison'!$M$5:$M$100,"Yes",'Quotation Comparison'!$Q$5:$Q$100,"Eligible")/F27*100,""))</f>
        <v/>
      </c>
      <c r="J27" t="str">
        <f t="shared" si="2"/>
        <v/>
      </c>
    </row>
    <row r="28" spans="5:10" x14ac:dyDescent="0.25">
      <c r="E28" t="str">
        <f>IF(OR(D28="",K28&lt;&gt;"Yes"),"",IFERROR(_xludf.MINIFS('Quotation Comparison'!$J$5:$J$100,'Quotation Comparison'!$B$5:$B$100,A28,'Quotation Comparison'!$M$5:$M$100,"Yes",'Quotation Comparison'!$Q$5:$Q$100,"Eligible")/D28*100,""))</f>
        <v/>
      </c>
      <c r="G28" t="str">
        <f>IF(OR(F28="",K28&lt;&gt;"Yes"),"",IFERROR(_xludf.MINIFS('Quotation Comparison'!$K$5:$K$100,'Quotation Comparison'!$B$5:$B$100,A28,'Quotation Comparison'!$M$5:$M$100,"Yes",'Quotation Comparison'!$Q$5:$Q$100,"Eligible")/F28*100,""))</f>
        <v/>
      </c>
      <c r="J28" t="str">
        <f t="shared" si="2"/>
        <v/>
      </c>
    </row>
    <row r="29" spans="5:10" x14ac:dyDescent="0.25">
      <c r="E29" t="str">
        <f>IF(OR(D29="",K29&lt;&gt;"Yes"),"",IFERROR(_xludf.MINIFS('Quotation Comparison'!$J$5:$J$100,'Quotation Comparison'!$B$5:$B$100,A29,'Quotation Comparison'!$M$5:$M$100,"Yes",'Quotation Comparison'!$Q$5:$Q$100,"Eligible")/D29*100,""))</f>
        <v/>
      </c>
      <c r="G29" t="str">
        <f>IF(OR(F29="",K29&lt;&gt;"Yes"),"",IFERROR(_xludf.MINIFS('Quotation Comparison'!$K$5:$K$100,'Quotation Comparison'!$B$5:$B$100,A29,'Quotation Comparison'!$M$5:$M$100,"Yes",'Quotation Comparison'!$Q$5:$Q$100,"Eligible")/F29*100,""))</f>
        <v/>
      </c>
      <c r="J29" t="str">
        <f t="shared" si="2"/>
        <v/>
      </c>
    </row>
    <row r="30" spans="5:10" x14ac:dyDescent="0.25">
      <c r="E30" t="str">
        <f>IF(OR(D30="",K30&lt;&gt;"Yes"),"",IFERROR(_xludf.MINIFS('Quotation Comparison'!$J$5:$J$100,'Quotation Comparison'!$B$5:$B$100,A30,'Quotation Comparison'!$M$5:$M$100,"Yes",'Quotation Comparison'!$Q$5:$Q$100,"Eligible")/D30*100,""))</f>
        <v/>
      </c>
      <c r="G30" t="str">
        <f>IF(OR(F30="",K30&lt;&gt;"Yes"),"",IFERROR(_xludf.MINIFS('Quotation Comparison'!$K$5:$K$100,'Quotation Comparison'!$B$5:$B$100,A30,'Quotation Comparison'!$M$5:$M$100,"Yes",'Quotation Comparison'!$Q$5:$Q$100,"Eligible")/F30*100,""))</f>
        <v/>
      </c>
      <c r="J30" t="str">
        <f t="shared" si="2"/>
        <v/>
      </c>
    </row>
    <row r="31" spans="5:10" x14ac:dyDescent="0.25">
      <c r="E31" t="str">
        <f>IF(OR(D31="",K31&lt;&gt;"Yes"),"",IFERROR(_xludf.MINIFS('Quotation Comparison'!$J$5:$J$100,'Quotation Comparison'!$B$5:$B$100,A31,'Quotation Comparison'!$M$5:$M$100,"Yes",'Quotation Comparison'!$Q$5:$Q$100,"Eligible")/D31*100,""))</f>
        <v/>
      </c>
      <c r="G31" t="str">
        <f>IF(OR(F31="",K31&lt;&gt;"Yes"),"",IFERROR(_xludf.MINIFS('Quotation Comparison'!$K$5:$K$100,'Quotation Comparison'!$B$5:$B$100,A31,'Quotation Comparison'!$M$5:$M$100,"Yes",'Quotation Comparison'!$Q$5:$Q$100,"Eligible")/F31*100,""))</f>
        <v/>
      </c>
      <c r="J31" t="str">
        <f t="shared" si="2"/>
        <v/>
      </c>
    </row>
    <row r="32" spans="5:10" x14ac:dyDescent="0.25">
      <c r="E32" t="str">
        <f>IF(OR(D32="",K32&lt;&gt;"Yes"),"",IFERROR(_xludf.MINIFS('Quotation Comparison'!$J$5:$J$100,'Quotation Comparison'!$B$5:$B$100,A32,'Quotation Comparison'!$M$5:$M$100,"Yes",'Quotation Comparison'!$Q$5:$Q$100,"Eligible")/D32*100,""))</f>
        <v/>
      </c>
      <c r="G32" t="str">
        <f>IF(OR(F32="",K32&lt;&gt;"Yes"),"",IFERROR(_xludf.MINIFS('Quotation Comparison'!$K$5:$K$100,'Quotation Comparison'!$B$5:$B$100,A32,'Quotation Comparison'!$M$5:$M$100,"Yes",'Quotation Comparison'!$Q$5:$Q$100,"Eligible")/F32*100,""))</f>
        <v/>
      </c>
      <c r="J32" t="str">
        <f t="shared" si="2"/>
        <v/>
      </c>
    </row>
    <row r="33" spans="5:10" x14ac:dyDescent="0.25">
      <c r="E33" t="str">
        <f>IF(OR(D33="",K33&lt;&gt;"Yes"),"",IFERROR(_xludf.MINIFS('Quotation Comparison'!$J$5:$J$100,'Quotation Comparison'!$B$5:$B$100,A33,'Quotation Comparison'!$M$5:$M$100,"Yes",'Quotation Comparison'!$Q$5:$Q$100,"Eligible")/D33*100,""))</f>
        <v/>
      </c>
      <c r="G33" t="str">
        <f>IF(OR(F33="",K33&lt;&gt;"Yes"),"",IFERROR(_xludf.MINIFS('Quotation Comparison'!$K$5:$K$100,'Quotation Comparison'!$B$5:$B$100,A33,'Quotation Comparison'!$M$5:$M$100,"Yes",'Quotation Comparison'!$Q$5:$Q$100,"Eligible")/F33*100,""))</f>
        <v/>
      </c>
      <c r="J33" t="str">
        <f t="shared" si="2"/>
        <v/>
      </c>
    </row>
    <row r="34" spans="5:10" x14ac:dyDescent="0.25">
      <c r="E34" t="str">
        <f>IF(OR(D34="",K34&lt;&gt;"Yes"),"",IFERROR(_xludf.MINIFS('Quotation Comparison'!$J$5:$J$100,'Quotation Comparison'!$B$5:$B$100,A34,'Quotation Comparison'!$M$5:$M$100,"Yes",'Quotation Comparison'!$Q$5:$Q$100,"Eligible")/D34*100,""))</f>
        <v/>
      </c>
      <c r="G34" t="str">
        <f>IF(OR(F34="",K34&lt;&gt;"Yes"),"",IFERROR(_xludf.MINIFS('Quotation Comparison'!$K$5:$K$100,'Quotation Comparison'!$B$5:$B$100,A34,'Quotation Comparison'!$M$5:$M$100,"Yes",'Quotation Comparison'!$Q$5:$Q$100,"Eligible")/F34*100,""))</f>
        <v/>
      </c>
      <c r="J34" t="str">
        <f t="shared" si="2"/>
        <v/>
      </c>
    </row>
    <row r="35" spans="5:10" x14ac:dyDescent="0.25">
      <c r="E35" t="str">
        <f>IF(OR(D35="",K35&lt;&gt;"Yes"),"",IFERROR(_xludf.MINIFS('Quotation Comparison'!$J$5:$J$100,'Quotation Comparison'!$B$5:$B$100,A35,'Quotation Comparison'!$M$5:$M$100,"Yes",'Quotation Comparison'!$Q$5:$Q$100,"Eligible")/D35*100,""))</f>
        <v/>
      </c>
      <c r="G35" t="str">
        <f>IF(OR(F35="",K35&lt;&gt;"Yes"),"",IFERROR(_xludf.MINIFS('Quotation Comparison'!$K$5:$K$100,'Quotation Comparison'!$B$5:$B$100,A35,'Quotation Comparison'!$M$5:$M$100,"Yes",'Quotation Comparison'!$Q$5:$Q$100,"Eligible")/F35*100,""))</f>
        <v/>
      </c>
      <c r="J35" t="str">
        <f t="shared" si="2"/>
        <v/>
      </c>
    </row>
    <row r="36" spans="5:10" x14ac:dyDescent="0.25">
      <c r="E36" t="str">
        <f>IF(OR(D36="",K36&lt;&gt;"Yes"),"",IFERROR(_xludf.MINIFS('Quotation Comparison'!$J$5:$J$100,'Quotation Comparison'!$B$5:$B$100,A36,'Quotation Comparison'!$M$5:$M$100,"Yes",'Quotation Comparison'!$Q$5:$Q$100,"Eligible")/D36*100,""))</f>
        <v/>
      </c>
      <c r="G36" t="str">
        <f>IF(OR(F36="",K36&lt;&gt;"Yes"),"",IFERROR(_xludf.MINIFS('Quotation Comparison'!$K$5:$K$100,'Quotation Comparison'!$B$5:$B$100,A36,'Quotation Comparison'!$M$5:$M$100,"Yes",'Quotation Comparison'!$Q$5:$Q$100,"Eligible")/F36*100,""))</f>
        <v/>
      </c>
      <c r="J36" t="str">
        <f t="shared" si="2"/>
        <v/>
      </c>
    </row>
    <row r="37" spans="5:10" x14ac:dyDescent="0.25">
      <c r="E37" t="str">
        <f>IF(OR(D37="",K37&lt;&gt;"Yes"),"",IFERROR(_xludf.MINIFS('Quotation Comparison'!$J$5:$J$100,'Quotation Comparison'!$B$5:$B$100,A37,'Quotation Comparison'!$M$5:$M$100,"Yes",'Quotation Comparison'!$Q$5:$Q$100,"Eligible")/D37*100,""))</f>
        <v/>
      </c>
      <c r="G37" t="str">
        <f>IF(OR(F37="",K37&lt;&gt;"Yes"),"",IFERROR(_xludf.MINIFS('Quotation Comparison'!$K$5:$K$100,'Quotation Comparison'!$B$5:$B$100,A37,'Quotation Comparison'!$M$5:$M$100,"Yes",'Quotation Comparison'!$Q$5:$Q$100,"Eligible")/F37*100,""))</f>
        <v/>
      </c>
      <c r="J37" t="str">
        <f t="shared" ref="J37:J68" si="3">IF(OR(K37&lt;&gt;"Yes",E37="",G37="",H37="",I37=""),"",ROUND(E37*50%+G37*20%+H37*20%+I37*10%,1))</f>
        <v/>
      </c>
    </row>
    <row r="38" spans="5:10" x14ac:dyDescent="0.25">
      <c r="E38" t="str">
        <f>IF(OR(D38="",K38&lt;&gt;"Yes"),"",IFERROR(_xludf.MINIFS('Quotation Comparison'!$J$5:$J$100,'Quotation Comparison'!$B$5:$B$100,A38,'Quotation Comparison'!$M$5:$M$100,"Yes",'Quotation Comparison'!$Q$5:$Q$100,"Eligible")/D38*100,""))</f>
        <v/>
      </c>
      <c r="G38" t="str">
        <f>IF(OR(F38="",K38&lt;&gt;"Yes"),"",IFERROR(_xludf.MINIFS('Quotation Comparison'!$K$5:$K$100,'Quotation Comparison'!$B$5:$B$100,A38,'Quotation Comparison'!$M$5:$M$100,"Yes",'Quotation Comparison'!$Q$5:$Q$100,"Eligible")/F38*100,""))</f>
        <v/>
      </c>
      <c r="J38" t="str">
        <f t="shared" si="3"/>
        <v/>
      </c>
    </row>
    <row r="39" spans="5:10" x14ac:dyDescent="0.25">
      <c r="E39" t="str">
        <f>IF(OR(D39="",K39&lt;&gt;"Yes"),"",IFERROR(_xludf.MINIFS('Quotation Comparison'!$J$5:$J$100,'Quotation Comparison'!$B$5:$B$100,A39,'Quotation Comparison'!$M$5:$M$100,"Yes",'Quotation Comparison'!$Q$5:$Q$100,"Eligible")/D39*100,""))</f>
        <v/>
      </c>
      <c r="G39" t="str">
        <f>IF(OR(F39="",K39&lt;&gt;"Yes"),"",IFERROR(_xludf.MINIFS('Quotation Comparison'!$K$5:$K$100,'Quotation Comparison'!$B$5:$B$100,A39,'Quotation Comparison'!$M$5:$M$100,"Yes",'Quotation Comparison'!$Q$5:$Q$100,"Eligible")/F39*100,""))</f>
        <v/>
      </c>
      <c r="J39" t="str">
        <f t="shared" si="3"/>
        <v/>
      </c>
    </row>
    <row r="40" spans="5:10" x14ac:dyDescent="0.25">
      <c r="E40" t="str">
        <f>IF(OR(D40="",K40&lt;&gt;"Yes"),"",IFERROR(_xludf.MINIFS('Quotation Comparison'!$J$5:$J$100,'Quotation Comparison'!$B$5:$B$100,A40,'Quotation Comparison'!$M$5:$M$100,"Yes",'Quotation Comparison'!$Q$5:$Q$100,"Eligible")/D40*100,""))</f>
        <v/>
      </c>
      <c r="G40" t="str">
        <f>IF(OR(F40="",K40&lt;&gt;"Yes"),"",IFERROR(_xludf.MINIFS('Quotation Comparison'!$K$5:$K$100,'Quotation Comparison'!$B$5:$B$100,A40,'Quotation Comparison'!$M$5:$M$100,"Yes",'Quotation Comparison'!$Q$5:$Q$100,"Eligible")/F40*100,""))</f>
        <v/>
      </c>
      <c r="J40" t="str">
        <f t="shared" si="3"/>
        <v/>
      </c>
    </row>
    <row r="41" spans="5:10" x14ac:dyDescent="0.25">
      <c r="E41" t="str">
        <f>IF(OR(D41="",K41&lt;&gt;"Yes"),"",IFERROR(_xludf.MINIFS('Quotation Comparison'!$J$5:$J$100,'Quotation Comparison'!$B$5:$B$100,A41,'Quotation Comparison'!$M$5:$M$100,"Yes",'Quotation Comparison'!$Q$5:$Q$100,"Eligible")/D41*100,""))</f>
        <v/>
      </c>
      <c r="G41" t="str">
        <f>IF(OR(F41="",K41&lt;&gt;"Yes"),"",IFERROR(_xludf.MINIFS('Quotation Comparison'!$K$5:$K$100,'Quotation Comparison'!$B$5:$B$100,A41,'Quotation Comparison'!$M$5:$M$100,"Yes",'Quotation Comparison'!$Q$5:$Q$100,"Eligible")/F41*100,""))</f>
        <v/>
      </c>
      <c r="J41" t="str">
        <f t="shared" si="3"/>
        <v/>
      </c>
    </row>
    <row r="42" spans="5:10" x14ac:dyDescent="0.25">
      <c r="E42" t="str">
        <f>IF(OR(D42="",K42&lt;&gt;"Yes"),"",IFERROR(_xludf.MINIFS('Quotation Comparison'!$J$5:$J$100,'Quotation Comparison'!$B$5:$B$100,A42,'Quotation Comparison'!$M$5:$M$100,"Yes",'Quotation Comparison'!$Q$5:$Q$100,"Eligible")/D42*100,""))</f>
        <v/>
      </c>
      <c r="G42" t="str">
        <f>IF(OR(F42="",K42&lt;&gt;"Yes"),"",IFERROR(_xludf.MINIFS('Quotation Comparison'!$K$5:$K$100,'Quotation Comparison'!$B$5:$B$100,A42,'Quotation Comparison'!$M$5:$M$100,"Yes",'Quotation Comparison'!$Q$5:$Q$100,"Eligible")/F42*100,""))</f>
        <v/>
      </c>
      <c r="J42" t="str">
        <f t="shared" si="3"/>
        <v/>
      </c>
    </row>
    <row r="43" spans="5:10" x14ac:dyDescent="0.25">
      <c r="E43" t="str">
        <f>IF(OR(D43="",K43&lt;&gt;"Yes"),"",IFERROR(_xludf.MINIFS('Quotation Comparison'!$J$5:$J$100,'Quotation Comparison'!$B$5:$B$100,A43,'Quotation Comparison'!$M$5:$M$100,"Yes",'Quotation Comparison'!$Q$5:$Q$100,"Eligible")/D43*100,""))</f>
        <v/>
      </c>
      <c r="G43" t="str">
        <f>IF(OR(F43="",K43&lt;&gt;"Yes"),"",IFERROR(_xludf.MINIFS('Quotation Comparison'!$K$5:$K$100,'Quotation Comparison'!$B$5:$B$100,A43,'Quotation Comparison'!$M$5:$M$100,"Yes",'Quotation Comparison'!$Q$5:$Q$100,"Eligible")/F43*100,""))</f>
        <v/>
      </c>
      <c r="J43" t="str">
        <f t="shared" si="3"/>
        <v/>
      </c>
    </row>
    <row r="44" spans="5:10" x14ac:dyDescent="0.25">
      <c r="E44" t="str">
        <f>IF(OR(D44="",K44&lt;&gt;"Yes"),"",IFERROR(_xludf.MINIFS('Quotation Comparison'!$J$5:$J$100,'Quotation Comparison'!$B$5:$B$100,A44,'Quotation Comparison'!$M$5:$M$100,"Yes",'Quotation Comparison'!$Q$5:$Q$100,"Eligible")/D44*100,""))</f>
        <v/>
      </c>
      <c r="G44" t="str">
        <f>IF(OR(F44="",K44&lt;&gt;"Yes"),"",IFERROR(_xludf.MINIFS('Quotation Comparison'!$K$5:$K$100,'Quotation Comparison'!$B$5:$B$100,A44,'Quotation Comparison'!$M$5:$M$100,"Yes",'Quotation Comparison'!$Q$5:$Q$100,"Eligible")/F44*100,""))</f>
        <v/>
      </c>
      <c r="J44" t="str">
        <f t="shared" si="3"/>
        <v/>
      </c>
    </row>
    <row r="45" spans="5:10" x14ac:dyDescent="0.25">
      <c r="E45" t="str">
        <f>IF(OR(D45="",K45&lt;&gt;"Yes"),"",IFERROR(_xludf.MINIFS('Quotation Comparison'!$J$5:$J$100,'Quotation Comparison'!$B$5:$B$100,A45,'Quotation Comparison'!$M$5:$M$100,"Yes",'Quotation Comparison'!$Q$5:$Q$100,"Eligible")/D45*100,""))</f>
        <v/>
      </c>
      <c r="G45" t="str">
        <f>IF(OR(F45="",K45&lt;&gt;"Yes"),"",IFERROR(_xludf.MINIFS('Quotation Comparison'!$K$5:$K$100,'Quotation Comparison'!$B$5:$B$100,A45,'Quotation Comparison'!$M$5:$M$100,"Yes",'Quotation Comparison'!$Q$5:$Q$100,"Eligible")/F45*100,""))</f>
        <v/>
      </c>
      <c r="J45" t="str">
        <f t="shared" si="3"/>
        <v/>
      </c>
    </row>
    <row r="46" spans="5:10" x14ac:dyDescent="0.25">
      <c r="E46" t="str">
        <f>IF(OR(D46="",K46&lt;&gt;"Yes"),"",IFERROR(_xludf.MINIFS('Quotation Comparison'!$J$5:$J$100,'Quotation Comparison'!$B$5:$B$100,A46,'Quotation Comparison'!$M$5:$M$100,"Yes",'Quotation Comparison'!$Q$5:$Q$100,"Eligible")/D46*100,""))</f>
        <v/>
      </c>
      <c r="G46" t="str">
        <f>IF(OR(F46="",K46&lt;&gt;"Yes"),"",IFERROR(_xludf.MINIFS('Quotation Comparison'!$K$5:$K$100,'Quotation Comparison'!$B$5:$B$100,A46,'Quotation Comparison'!$M$5:$M$100,"Yes",'Quotation Comparison'!$Q$5:$Q$100,"Eligible")/F46*100,""))</f>
        <v/>
      </c>
      <c r="J46" t="str">
        <f t="shared" si="3"/>
        <v/>
      </c>
    </row>
    <row r="47" spans="5:10" x14ac:dyDescent="0.25">
      <c r="E47" t="str">
        <f>IF(OR(D47="",K47&lt;&gt;"Yes"),"",IFERROR(_xludf.MINIFS('Quotation Comparison'!$J$5:$J$100,'Quotation Comparison'!$B$5:$B$100,A47,'Quotation Comparison'!$M$5:$M$100,"Yes",'Quotation Comparison'!$Q$5:$Q$100,"Eligible")/D47*100,""))</f>
        <v/>
      </c>
      <c r="G47" t="str">
        <f>IF(OR(F47="",K47&lt;&gt;"Yes"),"",IFERROR(_xludf.MINIFS('Quotation Comparison'!$K$5:$K$100,'Quotation Comparison'!$B$5:$B$100,A47,'Quotation Comparison'!$M$5:$M$100,"Yes",'Quotation Comparison'!$Q$5:$Q$100,"Eligible")/F47*100,""))</f>
        <v/>
      </c>
      <c r="J47" t="str">
        <f t="shared" si="3"/>
        <v/>
      </c>
    </row>
    <row r="48" spans="5:10" x14ac:dyDescent="0.25">
      <c r="E48" t="str">
        <f>IF(OR(D48="",K48&lt;&gt;"Yes"),"",IFERROR(_xludf.MINIFS('Quotation Comparison'!$J$5:$J$100,'Quotation Comparison'!$B$5:$B$100,A48,'Quotation Comparison'!$M$5:$M$100,"Yes",'Quotation Comparison'!$Q$5:$Q$100,"Eligible")/D48*100,""))</f>
        <v/>
      </c>
      <c r="G48" t="str">
        <f>IF(OR(F48="",K48&lt;&gt;"Yes"),"",IFERROR(_xludf.MINIFS('Quotation Comparison'!$K$5:$K$100,'Quotation Comparison'!$B$5:$B$100,A48,'Quotation Comparison'!$M$5:$M$100,"Yes",'Quotation Comparison'!$Q$5:$Q$100,"Eligible")/F48*100,""))</f>
        <v/>
      </c>
      <c r="J48" t="str">
        <f t="shared" si="3"/>
        <v/>
      </c>
    </row>
    <row r="49" spans="5:10" x14ac:dyDescent="0.25">
      <c r="E49" t="str">
        <f>IF(OR(D49="",K49&lt;&gt;"Yes"),"",IFERROR(_xludf.MINIFS('Quotation Comparison'!$J$5:$J$100,'Quotation Comparison'!$B$5:$B$100,A49,'Quotation Comparison'!$M$5:$M$100,"Yes",'Quotation Comparison'!$Q$5:$Q$100,"Eligible")/D49*100,""))</f>
        <v/>
      </c>
      <c r="G49" t="str">
        <f>IF(OR(F49="",K49&lt;&gt;"Yes"),"",IFERROR(_xludf.MINIFS('Quotation Comparison'!$K$5:$K$100,'Quotation Comparison'!$B$5:$B$100,A49,'Quotation Comparison'!$M$5:$M$100,"Yes",'Quotation Comparison'!$Q$5:$Q$100,"Eligible")/F49*100,""))</f>
        <v/>
      </c>
      <c r="J49" t="str">
        <f t="shared" si="3"/>
        <v/>
      </c>
    </row>
    <row r="50" spans="5:10" x14ac:dyDescent="0.25">
      <c r="E50" t="str">
        <f>IF(OR(D50="",K50&lt;&gt;"Yes"),"",IFERROR(_xludf.MINIFS('Quotation Comparison'!$J$5:$J$100,'Quotation Comparison'!$B$5:$B$100,A50,'Quotation Comparison'!$M$5:$M$100,"Yes",'Quotation Comparison'!$Q$5:$Q$100,"Eligible")/D50*100,""))</f>
        <v/>
      </c>
      <c r="G50" t="str">
        <f>IF(OR(F50="",K50&lt;&gt;"Yes"),"",IFERROR(_xludf.MINIFS('Quotation Comparison'!$K$5:$K$100,'Quotation Comparison'!$B$5:$B$100,A50,'Quotation Comparison'!$M$5:$M$100,"Yes",'Quotation Comparison'!$Q$5:$Q$100,"Eligible")/F50*100,""))</f>
        <v/>
      </c>
      <c r="J50" t="str">
        <f t="shared" si="3"/>
        <v/>
      </c>
    </row>
    <row r="51" spans="5:10" x14ac:dyDescent="0.25">
      <c r="E51" t="str">
        <f>IF(OR(D51="",K51&lt;&gt;"Yes"),"",IFERROR(_xludf.MINIFS('Quotation Comparison'!$J$5:$J$100,'Quotation Comparison'!$B$5:$B$100,A51,'Quotation Comparison'!$M$5:$M$100,"Yes",'Quotation Comparison'!$Q$5:$Q$100,"Eligible")/D51*100,""))</f>
        <v/>
      </c>
      <c r="G51" t="str">
        <f>IF(OR(F51="",K51&lt;&gt;"Yes"),"",IFERROR(_xludf.MINIFS('Quotation Comparison'!$K$5:$K$100,'Quotation Comparison'!$B$5:$B$100,A51,'Quotation Comparison'!$M$5:$M$100,"Yes",'Quotation Comparison'!$Q$5:$Q$100,"Eligible")/F51*100,""))</f>
        <v/>
      </c>
      <c r="J51" t="str">
        <f t="shared" si="3"/>
        <v/>
      </c>
    </row>
    <row r="52" spans="5:10" x14ac:dyDescent="0.25">
      <c r="E52" t="str">
        <f>IF(OR(D52="",K52&lt;&gt;"Yes"),"",IFERROR(_xludf.MINIFS('Quotation Comparison'!$J$5:$J$100,'Quotation Comparison'!$B$5:$B$100,A52,'Quotation Comparison'!$M$5:$M$100,"Yes",'Quotation Comparison'!$Q$5:$Q$100,"Eligible")/D52*100,""))</f>
        <v/>
      </c>
      <c r="G52" t="str">
        <f>IF(OR(F52="",K52&lt;&gt;"Yes"),"",IFERROR(_xludf.MINIFS('Quotation Comparison'!$K$5:$K$100,'Quotation Comparison'!$B$5:$B$100,A52,'Quotation Comparison'!$M$5:$M$100,"Yes",'Quotation Comparison'!$Q$5:$Q$100,"Eligible")/F52*100,""))</f>
        <v/>
      </c>
      <c r="J52" t="str">
        <f t="shared" si="3"/>
        <v/>
      </c>
    </row>
    <row r="53" spans="5:10" x14ac:dyDescent="0.25">
      <c r="E53" t="str">
        <f>IF(OR(D53="",K53&lt;&gt;"Yes"),"",IFERROR(_xludf.MINIFS('Quotation Comparison'!$J$5:$J$100,'Quotation Comparison'!$B$5:$B$100,A53,'Quotation Comparison'!$M$5:$M$100,"Yes",'Quotation Comparison'!$Q$5:$Q$100,"Eligible")/D53*100,""))</f>
        <v/>
      </c>
      <c r="G53" t="str">
        <f>IF(OR(F53="",K53&lt;&gt;"Yes"),"",IFERROR(_xludf.MINIFS('Quotation Comparison'!$K$5:$K$100,'Quotation Comparison'!$B$5:$B$100,A53,'Quotation Comparison'!$M$5:$M$100,"Yes",'Quotation Comparison'!$Q$5:$Q$100,"Eligible")/F53*100,""))</f>
        <v/>
      </c>
      <c r="J53" t="str">
        <f t="shared" si="3"/>
        <v/>
      </c>
    </row>
    <row r="54" spans="5:10" x14ac:dyDescent="0.25">
      <c r="E54" t="str">
        <f>IF(OR(D54="",K54&lt;&gt;"Yes"),"",IFERROR(_xludf.MINIFS('Quotation Comparison'!$J$5:$J$100,'Quotation Comparison'!$B$5:$B$100,A54,'Quotation Comparison'!$M$5:$M$100,"Yes",'Quotation Comparison'!$Q$5:$Q$100,"Eligible")/D54*100,""))</f>
        <v/>
      </c>
      <c r="G54" t="str">
        <f>IF(OR(F54="",K54&lt;&gt;"Yes"),"",IFERROR(_xludf.MINIFS('Quotation Comparison'!$K$5:$K$100,'Quotation Comparison'!$B$5:$B$100,A54,'Quotation Comparison'!$M$5:$M$100,"Yes",'Quotation Comparison'!$Q$5:$Q$100,"Eligible")/F54*100,""))</f>
        <v/>
      </c>
      <c r="J54" t="str">
        <f t="shared" si="3"/>
        <v/>
      </c>
    </row>
    <row r="55" spans="5:10" x14ac:dyDescent="0.25">
      <c r="E55" t="str">
        <f>IF(OR(D55="",K55&lt;&gt;"Yes"),"",IFERROR(_xludf.MINIFS('Quotation Comparison'!$J$5:$J$100,'Quotation Comparison'!$B$5:$B$100,A55,'Quotation Comparison'!$M$5:$M$100,"Yes",'Quotation Comparison'!$Q$5:$Q$100,"Eligible")/D55*100,""))</f>
        <v/>
      </c>
      <c r="G55" t="str">
        <f>IF(OR(F55="",K55&lt;&gt;"Yes"),"",IFERROR(_xludf.MINIFS('Quotation Comparison'!$K$5:$K$100,'Quotation Comparison'!$B$5:$B$100,A55,'Quotation Comparison'!$M$5:$M$100,"Yes",'Quotation Comparison'!$Q$5:$Q$100,"Eligible")/F55*100,""))</f>
        <v/>
      </c>
      <c r="J55" t="str">
        <f t="shared" si="3"/>
        <v/>
      </c>
    </row>
    <row r="56" spans="5:10" x14ac:dyDescent="0.25">
      <c r="E56" t="str">
        <f>IF(OR(D56="",K56&lt;&gt;"Yes"),"",IFERROR(_xludf.MINIFS('Quotation Comparison'!$J$5:$J$100,'Quotation Comparison'!$B$5:$B$100,A56,'Quotation Comparison'!$M$5:$M$100,"Yes",'Quotation Comparison'!$Q$5:$Q$100,"Eligible")/D56*100,""))</f>
        <v/>
      </c>
      <c r="G56" t="str">
        <f>IF(OR(F56="",K56&lt;&gt;"Yes"),"",IFERROR(_xludf.MINIFS('Quotation Comparison'!$K$5:$K$100,'Quotation Comparison'!$B$5:$B$100,A56,'Quotation Comparison'!$M$5:$M$100,"Yes",'Quotation Comparison'!$Q$5:$Q$100,"Eligible")/F56*100,""))</f>
        <v/>
      </c>
      <c r="J56" t="str">
        <f t="shared" si="3"/>
        <v/>
      </c>
    </row>
    <row r="57" spans="5:10" x14ac:dyDescent="0.25">
      <c r="E57" t="str">
        <f>IF(OR(D57="",K57&lt;&gt;"Yes"),"",IFERROR(_xludf.MINIFS('Quotation Comparison'!$J$5:$J$100,'Quotation Comparison'!$B$5:$B$100,A57,'Quotation Comparison'!$M$5:$M$100,"Yes",'Quotation Comparison'!$Q$5:$Q$100,"Eligible")/D57*100,""))</f>
        <v/>
      </c>
      <c r="G57" t="str">
        <f>IF(OR(F57="",K57&lt;&gt;"Yes"),"",IFERROR(_xludf.MINIFS('Quotation Comparison'!$K$5:$K$100,'Quotation Comparison'!$B$5:$B$100,A57,'Quotation Comparison'!$M$5:$M$100,"Yes",'Quotation Comparison'!$Q$5:$Q$100,"Eligible")/F57*100,""))</f>
        <v/>
      </c>
      <c r="J57" t="str">
        <f t="shared" si="3"/>
        <v/>
      </c>
    </row>
    <row r="58" spans="5:10" x14ac:dyDescent="0.25">
      <c r="E58" t="str">
        <f>IF(OR(D58="",K58&lt;&gt;"Yes"),"",IFERROR(_xludf.MINIFS('Quotation Comparison'!$J$5:$J$100,'Quotation Comparison'!$B$5:$B$100,A58,'Quotation Comparison'!$M$5:$M$100,"Yes",'Quotation Comparison'!$Q$5:$Q$100,"Eligible")/D58*100,""))</f>
        <v/>
      </c>
      <c r="G58" t="str">
        <f>IF(OR(F58="",K58&lt;&gt;"Yes"),"",IFERROR(_xludf.MINIFS('Quotation Comparison'!$K$5:$K$100,'Quotation Comparison'!$B$5:$B$100,A58,'Quotation Comparison'!$M$5:$M$100,"Yes",'Quotation Comparison'!$Q$5:$Q$100,"Eligible")/F58*100,""))</f>
        <v/>
      </c>
      <c r="J58" t="str">
        <f t="shared" si="3"/>
        <v/>
      </c>
    </row>
    <row r="59" spans="5:10" x14ac:dyDescent="0.25">
      <c r="E59" t="str">
        <f>IF(OR(D59="",K59&lt;&gt;"Yes"),"",IFERROR(_xludf.MINIFS('Quotation Comparison'!$J$5:$J$100,'Quotation Comparison'!$B$5:$B$100,A59,'Quotation Comparison'!$M$5:$M$100,"Yes",'Quotation Comparison'!$Q$5:$Q$100,"Eligible")/D59*100,""))</f>
        <v/>
      </c>
      <c r="G59" t="str">
        <f>IF(OR(F59="",K59&lt;&gt;"Yes"),"",IFERROR(_xludf.MINIFS('Quotation Comparison'!$K$5:$K$100,'Quotation Comparison'!$B$5:$B$100,A59,'Quotation Comparison'!$M$5:$M$100,"Yes",'Quotation Comparison'!$Q$5:$Q$100,"Eligible")/F59*100,""))</f>
        <v/>
      </c>
      <c r="J59" t="str">
        <f t="shared" si="3"/>
        <v/>
      </c>
    </row>
    <row r="60" spans="5:10" x14ac:dyDescent="0.25">
      <c r="E60" t="str">
        <f>IF(OR(D60="",K60&lt;&gt;"Yes"),"",IFERROR(_xludf.MINIFS('Quotation Comparison'!$J$5:$J$100,'Quotation Comparison'!$B$5:$B$100,A60,'Quotation Comparison'!$M$5:$M$100,"Yes",'Quotation Comparison'!$Q$5:$Q$100,"Eligible")/D60*100,""))</f>
        <v/>
      </c>
      <c r="G60" t="str">
        <f>IF(OR(F60="",K60&lt;&gt;"Yes"),"",IFERROR(_xludf.MINIFS('Quotation Comparison'!$K$5:$K$100,'Quotation Comparison'!$B$5:$B$100,A60,'Quotation Comparison'!$M$5:$M$100,"Yes",'Quotation Comparison'!$Q$5:$Q$100,"Eligible")/F60*100,""))</f>
        <v/>
      </c>
      <c r="J60" t="str">
        <f t="shared" si="3"/>
        <v/>
      </c>
    </row>
    <row r="61" spans="5:10" x14ac:dyDescent="0.25">
      <c r="E61" t="str">
        <f>IF(OR(D61="",K61&lt;&gt;"Yes"),"",IFERROR(_xludf.MINIFS('Quotation Comparison'!$J$5:$J$100,'Quotation Comparison'!$B$5:$B$100,A61,'Quotation Comparison'!$M$5:$M$100,"Yes",'Quotation Comparison'!$Q$5:$Q$100,"Eligible")/D61*100,""))</f>
        <v/>
      </c>
      <c r="G61" t="str">
        <f>IF(OR(F61="",K61&lt;&gt;"Yes"),"",IFERROR(_xludf.MINIFS('Quotation Comparison'!$K$5:$K$100,'Quotation Comparison'!$B$5:$B$100,A61,'Quotation Comparison'!$M$5:$M$100,"Yes",'Quotation Comparison'!$Q$5:$Q$100,"Eligible")/F61*100,""))</f>
        <v/>
      </c>
      <c r="J61" t="str">
        <f t="shared" si="3"/>
        <v/>
      </c>
    </row>
    <row r="62" spans="5:10" x14ac:dyDescent="0.25">
      <c r="E62" t="str">
        <f>IF(OR(D62="",K62&lt;&gt;"Yes"),"",IFERROR(_xludf.MINIFS('Quotation Comparison'!$J$5:$J$100,'Quotation Comparison'!$B$5:$B$100,A62,'Quotation Comparison'!$M$5:$M$100,"Yes",'Quotation Comparison'!$Q$5:$Q$100,"Eligible")/D62*100,""))</f>
        <v/>
      </c>
      <c r="G62" t="str">
        <f>IF(OR(F62="",K62&lt;&gt;"Yes"),"",IFERROR(_xludf.MINIFS('Quotation Comparison'!$K$5:$K$100,'Quotation Comparison'!$B$5:$B$100,A62,'Quotation Comparison'!$M$5:$M$100,"Yes",'Quotation Comparison'!$Q$5:$Q$100,"Eligible")/F62*100,""))</f>
        <v/>
      </c>
      <c r="J62" t="str">
        <f t="shared" si="3"/>
        <v/>
      </c>
    </row>
    <row r="63" spans="5:10" x14ac:dyDescent="0.25">
      <c r="E63" t="str">
        <f>IF(OR(D63="",K63&lt;&gt;"Yes"),"",IFERROR(_xludf.MINIFS('Quotation Comparison'!$J$5:$J$100,'Quotation Comparison'!$B$5:$B$100,A63,'Quotation Comparison'!$M$5:$M$100,"Yes",'Quotation Comparison'!$Q$5:$Q$100,"Eligible")/D63*100,""))</f>
        <v/>
      </c>
      <c r="G63" t="str">
        <f>IF(OR(F63="",K63&lt;&gt;"Yes"),"",IFERROR(_xludf.MINIFS('Quotation Comparison'!$K$5:$K$100,'Quotation Comparison'!$B$5:$B$100,A63,'Quotation Comparison'!$M$5:$M$100,"Yes",'Quotation Comparison'!$Q$5:$Q$100,"Eligible")/F63*100,""))</f>
        <v/>
      </c>
      <c r="J63" t="str">
        <f t="shared" si="3"/>
        <v/>
      </c>
    </row>
    <row r="64" spans="5:10" x14ac:dyDescent="0.25">
      <c r="E64" t="str">
        <f>IF(OR(D64="",K64&lt;&gt;"Yes"),"",IFERROR(_xludf.MINIFS('Quotation Comparison'!$J$5:$J$100,'Quotation Comparison'!$B$5:$B$100,A64,'Quotation Comparison'!$M$5:$M$100,"Yes",'Quotation Comparison'!$Q$5:$Q$100,"Eligible")/D64*100,""))</f>
        <v/>
      </c>
      <c r="G64" t="str">
        <f>IF(OR(F64="",K64&lt;&gt;"Yes"),"",IFERROR(_xludf.MINIFS('Quotation Comparison'!$K$5:$K$100,'Quotation Comparison'!$B$5:$B$100,A64,'Quotation Comparison'!$M$5:$M$100,"Yes",'Quotation Comparison'!$Q$5:$Q$100,"Eligible")/F64*100,""))</f>
        <v/>
      </c>
      <c r="J64" t="str">
        <f t="shared" si="3"/>
        <v/>
      </c>
    </row>
    <row r="65" spans="5:10" x14ac:dyDescent="0.25">
      <c r="E65" t="str">
        <f>IF(OR(D65="",K65&lt;&gt;"Yes"),"",IFERROR(_xludf.MINIFS('Quotation Comparison'!$J$5:$J$100,'Quotation Comparison'!$B$5:$B$100,A65,'Quotation Comparison'!$M$5:$M$100,"Yes",'Quotation Comparison'!$Q$5:$Q$100,"Eligible")/D65*100,""))</f>
        <v/>
      </c>
      <c r="G65" t="str">
        <f>IF(OR(F65="",K65&lt;&gt;"Yes"),"",IFERROR(_xludf.MINIFS('Quotation Comparison'!$K$5:$K$100,'Quotation Comparison'!$B$5:$B$100,A65,'Quotation Comparison'!$M$5:$M$100,"Yes",'Quotation Comparison'!$Q$5:$Q$100,"Eligible")/F65*100,""))</f>
        <v/>
      </c>
      <c r="J65" t="str">
        <f t="shared" si="3"/>
        <v/>
      </c>
    </row>
    <row r="66" spans="5:10" x14ac:dyDescent="0.25">
      <c r="E66" t="str">
        <f>IF(OR(D66="",K66&lt;&gt;"Yes"),"",IFERROR(_xludf.MINIFS('Quotation Comparison'!$J$5:$J$100,'Quotation Comparison'!$B$5:$B$100,A66,'Quotation Comparison'!$M$5:$M$100,"Yes",'Quotation Comparison'!$Q$5:$Q$100,"Eligible")/D66*100,""))</f>
        <v/>
      </c>
      <c r="G66" t="str">
        <f>IF(OR(F66="",K66&lt;&gt;"Yes"),"",IFERROR(_xludf.MINIFS('Quotation Comparison'!$K$5:$K$100,'Quotation Comparison'!$B$5:$B$100,A66,'Quotation Comparison'!$M$5:$M$100,"Yes",'Quotation Comparison'!$Q$5:$Q$100,"Eligible")/F66*100,""))</f>
        <v/>
      </c>
      <c r="J66" t="str">
        <f t="shared" si="3"/>
        <v/>
      </c>
    </row>
    <row r="67" spans="5:10" x14ac:dyDescent="0.25">
      <c r="E67" t="str">
        <f>IF(OR(D67="",K67&lt;&gt;"Yes"),"",IFERROR(_xludf.MINIFS('Quotation Comparison'!$J$5:$J$100,'Quotation Comparison'!$B$5:$B$100,A67,'Quotation Comparison'!$M$5:$M$100,"Yes",'Quotation Comparison'!$Q$5:$Q$100,"Eligible")/D67*100,""))</f>
        <v/>
      </c>
      <c r="G67" t="str">
        <f>IF(OR(F67="",K67&lt;&gt;"Yes"),"",IFERROR(_xludf.MINIFS('Quotation Comparison'!$K$5:$K$100,'Quotation Comparison'!$B$5:$B$100,A67,'Quotation Comparison'!$M$5:$M$100,"Yes",'Quotation Comparison'!$Q$5:$Q$100,"Eligible")/F67*100,""))</f>
        <v/>
      </c>
      <c r="J67" t="str">
        <f t="shared" si="3"/>
        <v/>
      </c>
    </row>
    <row r="68" spans="5:10" x14ac:dyDescent="0.25">
      <c r="E68" t="str">
        <f>IF(OR(D68="",K68&lt;&gt;"Yes"),"",IFERROR(_xludf.MINIFS('Quotation Comparison'!$J$5:$J$100,'Quotation Comparison'!$B$5:$B$100,A68,'Quotation Comparison'!$M$5:$M$100,"Yes",'Quotation Comparison'!$Q$5:$Q$100,"Eligible")/D68*100,""))</f>
        <v/>
      </c>
      <c r="G68" t="str">
        <f>IF(OR(F68="",K68&lt;&gt;"Yes"),"",IFERROR(_xludf.MINIFS('Quotation Comparison'!$K$5:$K$100,'Quotation Comparison'!$B$5:$B$100,A68,'Quotation Comparison'!$M$5:$M$100,"Yes",'Quotation Comparison'!$Q$5:$Q$100,"Eligible")/F68*100,""))</f>
        <v/>
      </c>
      <c r="J68" t="str">
        <f t="shared" si="3"/>
        <v/>
      </c>
    </row>
    <row r="69" spans="5:10" x14ac:dyDescent="0.25">
      <c r="E69" t="str">
        <f>IF(OR(D69="",K69&lt;&gt;"Yes"),"",IFERROR(_xludf.MINIFS('Quotation Comparison'!$J$5:$J$100,'Quotation Comparison'!$B$5:$B$100,A69,'Quotation Comparison'!$M$5:$M$100,"Yes",'Quotation Comparison'!$Q$5:$Q$100,"Eligible")/D69*100,""))</f>
        <v/>
      </c>
      <c r="G69" t="str">
        <f>IF(OR(F69="",K69&lt;&gt;"Yes"),"",IFERROR(_xludf.MINIFS('Quotation Comparison'!$K$5:$K$100,'Quotation Comparison'!$B$5:$B$100,A69,'Quotation Comparison'!$M$5:$M$100,"Yes",'Quotation Comparison'!$Q$5:$Q$100,"Eligible")/F69*100,""))</f>
        <v/>
      </c>
      <c r="J69" t="str">
        <f t="shared" ref="J69:J100" si="4">IF(OR(K69&lt;&gt;"Yes",E69="",G69="",H69="",I69=""),"",ROUND(E69*50%+G69*20%+H69*20%+I69*10%,1))</f>
        <v/>
      </c>
    </row>
    <row r="70" spans="5:10" x14ac:dyDescent="0.25">
      <c r="E70" t="str">
        <f>IF(OR(D70="",K70&lt;&gt;"Yes"),"",IFERROR(_xludf.MINIFS('Quotation Comparison'!$J$5:$J$100,'Quotation Comparison'!$B$5:$B$100,A70,'Quotation Comparison'!$M$5:$M$100,"Yes",'Quotation Comparison'!$Q$5:$Q$100,"Eligible")/D70*100,""))</f>
        <v/>
      </c>
      <c r="G70" t="str">
        <f>IF(OR(F70="",K70&lt;&gt;"Yes"),"",IFERROR(_xludf.MINIFS('Quotation Comparison'!$K$5:$K$100,'Quotation Comparison'!$B$5:$B$100,A70,'Quotation Comparison'!$M$5:$M$100,"Yes",'Quotation Comparison'!$Q$5:$Q$100,"Eligible")/F70*100,""))</f>
        <v/>
      </c>
      <c r="J70" t="str">
        <f t="shared" si="4"/>
        <v/>
      </c>
    </row>
    <row r="71" spans="5:10" x14ac:dyDescent="0.25">
      <c r="E71" t="str">
        <f>IF(OR(D71="",K71&lt;&gt;"Yes"),"",IFERROR(_xludf.MINIFS('Quotation Comparison'!$J$5:$J$100,'Quotation Comparison'!$B$5:$B$100,A71,'Quotation Comparison'!$M$5:$M$100,"Yes",'Quotation Comparison'!$Q$5:$Q$100,"Eligible")/D71*100,""))</f>
        <v/>
      </c>
      <c r="G71" t="str">
        <f>IF(OR(F71="",K71&lt;&gt;"Yes"),"",IFERROR(_xludf.MINIFS('Quotation Comparison'!$K$5:$K$100,'Quotation Comparison'!$B$5:$B$100,A71,'Quotation Comparison'!$M$5:$M$100,"Yes",'Quotation Comparison'!$Q$5:$Q$100,"Eligible")/F71*100,""))</f>
        <v/>
      </c>
      <c r="J71" t="str">
        <f t="shared" si="4"/>
        <v/>
      </c>
    </row>
    <row r="72" spans="5:10" x14ac:dyDescent="0.25">
      <c r="E72" t="str">
        <f>IF(OR(D72="",K72&lt;&gt;"Yes"),"",IFERROR(_xludf.MINIFS('Quotation Comparison'!$J$5:$J$100,'Quotation Comparison'!$B$5:$B$100,A72,'Quotation Comparison'!$M$5:$M$100,"Yes",'Quotation Comparison'!$Q$5:$Q$100,"Eligible")/D72*100,""))</f>
        <v/>
      </c>
      <c r="G72" t="str">
        <f>IF(OR(F72="",K72&lt;&gt;"Yes"),"",IFERROR(_xludf.MINIFS('Quotation Comparison'!$K$5:$K$100,'Quotation Comparison'!$B$5:$B$100,A72,'Quotation Comparison'!$M$5:$M$100,"Yes",'Quotation Comparison'!$Q$5:$Q$100,"Eligible")/F72*100,""))</f>
        <v/>
      </c>
      <c r="J72" t="str">
        <f t="shared" si="4"/>
        <v/>
      </c>
    </row>
    <row r="73" spans="5:10" x14ac:dyDescent="0.25">
      <c r="E73" t="str">
        <f>IF(OR(D73="",K73&lt;&gt;"Yes"),"",IFERROR(_xludf.MINIFS('Quotation Comparison'!$J$5:$J$100,'Quotation Comparison'!$B$5:$B$100,A73,'Quotation Comparison'!$M$5:$M$100,"Yes",'Quotation Comparison'!$Q$5:$Q$100,"Eligible")/D73*100,""))</f>
        <v/>
      </c>
      <c r="G73" t="str">
        <f>IF(OR(F73="",K73&lt;&gt;"Yes"),"",IFERROR(_xludf.MINIFS('Quotation Comparison'!$K$5:$K$100,'Quotation Comparison'!$B$5:$B$100,A73,'Quotation Comparison'!$M$5:$M$100,"Yes",'Quotation Comparison'!$Q$5:$Q$100,"Eligible")/F73*100,""))</f>
        <v/>
      </c>
      <c r="J73" t="str">
        <f t="shared" si="4"/>
        <v/>
      </c>
    </row>
    <row r="74" spans="5:10" x14ac:dyDescent="0.25">
      <c r="E74" t="str">
        <f>IF(OR(D74="",K74&lt;&gt;"Yes"),"",IFERROR(_xludf.MINIFS('Quotation Comparison'!$J$5:$J$100,'Quotation Comparison'!$B$5:$B$100,A74,'Quotation Comparison'!$M$5:$M$100,"Yes",'Quotation Comparison'!$Q$5:$Q$100,"Eligible")/D74*100,""))</f>
        <v/>
      </c>
      <c r="G74" t="str">
        <f>IF(OR(F74="",K74&lt;&gt;"Yes"),"",IFERROR(_xludf.MINIFS('Quotation Comparison'!$K$5:$K$100,'Quotation Comparison'!$B$5:$B$100,A74,'Quotation Comparison'!$M$5:$M$100,"Yes",'Quotation Comparison'!$Q$5:$Q$100,"Eligible")/F74*100,""))</f>
        <v/>
      </c>
      <c r="J74" t="str">
        <f t="shared" si="4"/>
        <v/>
      </c>
    </row>
    <row r="75" spans="5:10" x14ac:dyDescent="0.25">
      <c r="E75" t="str">
        <f>IF(OR(D75="",K75&lt;&gt;"Yes"),"",IFERROR(_xludf.MINIFS('Quotation Comparison'!$J$5:$J$100,'Quotation Comparison'!$B$5:$B$100,A75,'Quotation Comparison'!$M$5:$M$100,"Yes",'Quotation Comparison'!$Q$5:$Q$100,"Eligible")/D75*100,""))</f>
        <v/>
      </c>
      <c r="G75" t="str">
        <f>IF(OR(F75="",K75&lt;&gt;"Yes"),"",IFERROR(_xludf.MINIFS('Quotation Comparison'!$K$5:$K$100,'Quotation Comparison'!$B$5:$B$100,A75,'Quotation Comparison'!$M$5:$M$100,"Yes",'Quotation Comparison'!$Q$5:$Q$100,"Eligible")/F75*100,""))</f>
        <v/>
      </c>
      <c r="J75" t="str">
        <f t="shared" si="4"/>
        <v/>
      </c>
    </row>
    <row r="76" spans="5:10" x14ac:dyDescent="0.25">
      <c r="E76" t="str">
        <f>IF(OR(D76="",K76&lt;&gt;"Yes"),"",IFERROR(_xludf.MINIFS('Quotation Comparison'!$J$5:$J$100,'Quotation Comparison'!$B$5:$B$100,A76,'Quotation Comparison'!$M$5:$M$100,"Yes",'Quotation Comparison'!$Q$5:$Q$100,"Eligible")/D76*100,""))</f>
        <v/>
      </c>
      <c r="G76" t="str">
        <f>IF(OR(F76="",K76&lt;&gt;"Yes"),"",IFERROR(_xludf.MINIFS('Quotation Comparison'!$K$5:$K$100,'Quotation Comparison'!$B$5:$B$100,A76,'Quotation Comparison'!$M$5:$M$100,"Yes",'Quotation Comparison'!$Q$5:$Q$100,"Eligible")/F76*100,""))</f>
        <v/>
      </c>
      <c r="J76" t="str">
        <f t="shared" si="4"/>
        <v/>
      </c>
    </row>
    <row r="77" spans="5:10" x14ac:dyDescent="0.25">
      <c r="E77" t="str">
        <f>IF(OR(D77="",K77&lt;&gt;"Yes"),"",IFERROR(_xludf.MINIFS('Quotation Comparison'!$J$5:$J$100,'Quotation Comparison'!$B$5:$B$100,A77,'Quotation Comparison'!$M$5:$M$100,"Yes",'Quotation Comparison'!$Q$5:$Q$100,"Eligible")/D77*100,""))</f>
        <v/>
      </c>
      <c r="G77" t="str">
        <f>IF(OR(F77="",K77&lt;&gt;"Yes"),"",IFERROR(_xludf.MINIFS('Quotation Comparison'!$K$5:$K$100,'Quotation Comparison'!$B$5:$B$100,A77,'Quotation Comparison'!$M$5:$M$100,"Yes",'Quotation Comparison'!$Q$5:$Q$100,"Eligible")/F77*100,""))</f>
        <v/>
      </c>
      <c r="J77" t="str">
        <f t="shared" si="4"/>
        <v/>
      </c>
    </row>
    <row r="78" spans="5:10" x14ac:dyDescent="0.25">
      <c r="E78" t="str">
        <f>IF(OR(D78="",K78&lt;&gt;"Yes"),"",IFERROR(_xludf.MINIFS('Quotation Comparison'!$J$5:$J$100,'Quotation Comparison'!$B$5:$B$100,A78,'Quotation Comparison'!$M$5:$M$100,"Yes",'Quotation Comparison'!$Q$5:$Q$100,"Eligible")/D78*100,""))</f>
        <v/>
      </c>
      <c r="G78" t="str">
        <f>IF(OR(F78="",K78&lt;&gt;"Yes"),"",IFERROR(_xludf.MINIFS('Quotation Comparison'!$K$5:$K$100,'Quotation Comparison'!$B$5:$B$100,A78,'Quotation Comparison'!$M$5:$M$100,"Yes",'Quotation Comparison'!$Q$5:$Q$100,"Eligible")/F78*100,""))</f>
        <v/>
      </c>
      <c r="J78" t="str">
        <f t="shared" si="4"/>
        <v/>
      </c>
    </row>
    <row r="79" spans="5:10" x14ac:dyDescent="0.25">
      <c r="E79" t="str">
        <f>IF(OR(D79="",K79&lt;&gt;"Yes"),"",IFERROR(_xludf.MINIFS('Quotation Comparison'!$J$5:$J$100,'Quotation Comparison'!$B$5:$B$100,A79,'Quotation Comparison'!$M$5:$M$100,"Yes",'Quotation Comparison'!$Q$5:$Q$100,"Eligible")/D79*100,""))</f>
        <v/>
      </c>
      <c r="G79" t="str">
        <f>IF(OR(F79="",K79&lt;&gt;"Yes"),"",IFERROR(_xludf.MINIFS('Quotation Comparison'!$K$5:$K$100,'Quotation Comparison'!$B$5:$B$100,A79,'Quotation Comparison'!$M$5:$M$100,"Yes",'Quotation Comparison'!$Q$5:$Q$100,"Eligible")/F79*100,""))</f>
        <v/>
      </c>
      <c r="J79" t="str">
        <f t="shared" si="4"/>
        <v/>
      </c>
    </row>
    <row r="80" spans="5:10" x14ac:dyDescent="0.25">
      <c r="E80" t="str">
        <f>IF(OR(D80="",K80&lt;&gt;"Yes"),"",IFERROR(_xludf.MINIFS('Quotation Comparison'!$J$5:$J$100,'Quotation Comparison'!$B$5:$B$100,A80,'Quotation Comparison'!$M$5:$M$100,"Yes",'Quotation Comparison'!$Q$5:$Q$100,"Eligible")/D80*100,""))</f>
        <v/>
      </c>
      <c r="G80" t="str">
        <f>IF(OR(F80="",K80&lt;&gt;"Yes"),"",IFERROR(_xludf.MINIFS('Quotation Comparison'!$K$5:$K$100,'Quotation Comparison'!$B$5:$B$100,A80,'Quotation Comparison'!$M$5:$M$100,"Yes",'Quotation Comparison'!$Q$5:$Q$100,"Eligible")/F80*100,""))</f>
        <v/>
      </c>
      <c r="J80" t="str">
        <f t="shared" si="4"/>
        <v/>
      </c>
    </row>
    <row r="81" spans="5:10" x14ac:dyDescent="0.25">
      <c r="E81" t="str">
        <f>IF(OR(D81="",K81&lt;&gt;"Yes"),"",IFERROR(_xludf.MINIFS('Quotation Comparison'!$J$5:$J$100,'Quotation Comparison'!$B$5:$B$100,A81,'Quotation Comparison'!$M$5:$M$100,"Yes",'Quotation Comparison'!$Q$5:$Q$100,"Eligible")/D81*100,""))</f>
        <v/>
      </c>
      <c r="G81" t="str">
        <f>IF(OR(F81="",K81&lt;&gt;"Yes"),"",IFERROR(_xludf.MINIFS('Quotation Comparison'!$K$5:$K$100,'Quotation Comparison'!$B$5:$B$100,A81,'Quotation Comparison'!$M$5:$M$100,"Yes",'Quotation Comparison'!$Q$5:$Q$100,"Eligible")/F81*100,""))</f>
        <v/>
      </c>
      <c r="J81" t="str">
        <f t="shared" si="4"/>
        <v/>
      </c>
    </row>
    <row r="82" spans="5:10" x14ac:dyDescent="0.25">
      <c r="E82" t="str">
        <f>IF(OR(D82="",K82&lt;&gt;"Yes"),"",IFERROR(_xludf.MINIFS('Quotation Comparison'!$J$5:$J$100,'Quotation Comparison'!$B$5:$B$100,A82,'Quotation Comparison'!$M$5:$M$100,"Yes",'Quotation Comparison'!$Q$5:$Q$100,"Eligible")/D82*100,""))</f>
        <v/>
      </c>
      <c r="G82" t="str">
        <f>IF(OR(F82="",K82&lt;&gt;"Yes"),"",IFERROR(_xludf.MINIFS('Quotation Comparison'!$K$5:$K$100,'Quotation Comparison'!$B$5:$B$100,A82,'Quotation Comparison'!$M$5:$M$100,"Yes",'Quotation Comparison'!$Q$5:$Q$100,"Eligible")/F82*100,""))</f>
        <v/>
      </c>
      <c r="J82" t="str">
        <f t="shared" si="4"/>
        <v/>
      </c>
    </row>
    <row r="83" spans="5:10" x14ac:dyDescent="0.25">
      <c r="E83" t="str">
        <f>IF(OR(D83="",K83&lt;&gt;"Yes"),"",IFERROR(_xludf.MINIFS('Quotation Comparison'!$J$5:$J$100,'Quotation Comparison'!$B$5:$B$100,A83,'Quotation Comparison'!$M$5:$M$100,"Yes",'Quotation Comparison'!$Q$5:$Q$100,"Eligible")/D83*100,""))</f>
        <v/>
      </c>
      <c r="G83" t="str">
        <f>IF(OR(F83="",K83&lt;&gt;"Yes"),"",IFERROR(_xludf.MINIFS('Quotation Comparison'!$K$5:$K$100,'Quotation Comparison'!$B$5:$B$100,A83,'Quotation Comparison'!$M$5:$M$100,"Yes",'Quotation Comparison'!$Q$5:$Q$100,"Eligible")/F83*100,""))</f>
        <v/>
      </c>
      <c r="J83" t="str">
        <f t="shared" si="4"/>
        <v/>
      </c>
    </row>
    <row r="84" spans="5:10" x14ac:dyDescent="0.25">
      <c r="E84" t="str">
        <f>IF(OR(D84="",K84&lt;&gt;"Yes"),"",IFERROR(_xludf.MINIFS('Quotation Comparison'!$J$5:$J$100,'Quotation Comparison'!$B$5:$B$100,A84,'Quotation Comparison'!$M$5:$M$100,"Yes",'Quotation Comparison'!$Q$5:$Q$100,"Eligible")/D84*100,""))</f>
        <v/>
      </c>
      <c r="G84" t="str">
        <f>IF(OR(F84="",K84&lt;&gt;"Yes"),"",IFERROR(_xludf.MINIFS('Quotation Comparison'!$K$5:$K$100,'Quotation Comparison'!$B$5:$B$100,A84,'Quotation Comparison'!$M$5:$M$100,"Yes",'Quotation Comparison'!$Q$5:$Q$100,"Eligible")/F84*100,""))</f>
        <v/>
      </c>
      <c r="J84" t="str">
        <f t="shared" si="4"/>
        <v/>
      </c>
    </row>
    <row r="85" spans="5:10" x14ac:dyDescent="0.25">
      <c r="E85" t="str">
        <f>IF(OR(D85="",K85&lt;&gt;"Yes"),"",IFERROR(_xludf.MINIFS('Quotation Comparison'!$J$5:$J$100,'Quotation Comparison'!$B$5:$B$100,A85,'Quotation Comparison'!$M$5:$M$100,"Yes",'Quotation Comparison'!$Q$5:$Q$100,"Eligible")/D85*100,""))</f>
        <v/>
      </c>
      <c r="G85" t="str">
        <f>IF(OR(F85="",K85&lt;&gt;"Yes"),"",IFERROR(_xludf.MINIFS('Quotation Comparison'!$K$5:$K$100,'Quotation Comparison'!$B$5:$B$100,A85,'Quotation Comparison'!$M$5:$M$100,"Yes",'Quotation Comparison'!$Q$5:$Q$100,"Eligible")/F85*100,""))</f>
        <v/>
      </c>
      <c r="J85" t="str">
        <f t="shared" si="4"/>
        <v/>
      </c>
    </row>
    <row r="86" spans="5:10" x14ac:dyDescent="0.25">
      <c r="E86" t="str">
        <f>IF(OR(D86="",K86&lt;&gt;"Yes"),"",IFERROR(_xludf.MINIFS('Quotation Comparison'!$J$5:$J$100,'Quotation Comparison'!$B$5:$B$100,A86,'Quotation Comparison'!$M$5:$M$100,"Yes",'Quotation Comparison'!$Q$5:$Q$100,"Eligible")/D86*100,""))</f>
        <v/>
      </c>
      <c r="G86" t="str">
        <f>IF(OR(F86="",K86&lt;&gt;"Yes"),"",IFERROR(_xludf.MINIFS('Quotation Comparison'!$K$5:$K$100,'Quotation Comparison'!$B$5:$B$100,A86,'Quotation Comparison'!$M$5:$M$100,"Yes",'Quotation Comparison'!$Q$5:$Q$100,"Eligible")/F86*100,""))</f>
        <v/>
      </c>
      <c r="J86" t="str">
        <f t="shared" si="4"/>
        <v/>
      </c>
    </row>
    <row r="87" spans="5:10" x14ac:dyDescent="0.25">
      <c r="E87" t="str">
        <f>IF(OR(D87="",K87&lt;&gt;"Yes"),"",IFERROR(_xludf.MINIFS('Quotation Comparison'!$J$5:$J$100,'Quotation Comparison'!$B$5:$B$100,A87,'Quotation Comparison'!$M$5:$M$100,"Yes",'Quotation Comparison'!$Q$5:$Q$100,"Eligible")/D87*100,""))</f>
        <v/>
      </c>
      <c r="G87" t="str">
        <f>IF(OR(F87="",K87&lt;&gt;"Yes"),"",IFERROR(_xludf.MINIFS('Quotation Comparison'!$K$5:$K$100,'Quotation Comparison'!$B$5:$B$100,A87,'Quotation Comparison'!$M$5:$M$100,"Yes",'Quotation Comparison'!$Q$5:$Q$100,"Eligible")/F87*100,""))</f>
        <v/>
      </c>
      <c r="J87" t="str">
        <f t="shared" si="4"/>
        <v/>
      </c>
    </row>
    <row r="88" spans="5:10" x14ac:dyDescent="0.25">
      <c r="E88" t="str">
        <f>IF(OR(D88="",K88&lt;&gt;"Yes"),"",IFERROR(_xludf.MINIFS('Quotation Comparison'!$J$5:$J$100,'Quotation Comparison'!$B$5:$B$100,A88,'Quotation Comparison'!$M$5:$M$100,"Yes",'Quotation Comparison'!$Q$5:$Q$100,"Eligible")/D88*100,""))</f>
        <v/>
      </c>
      <c r="G88" t="str">
        <f>IF(OR(F88="",K88&lt;&gt;"Yes"),"",IFERROR(_xludf.MINIFS('Quotation Comparison'!$K$5:$K$100,'Quotation Comparison'!$B$5:$B$100,A88,'Quotation Comparison'!$M$5:$M$100,"Yes",'Quotation Comparison'!$Q$5:$Q$100,"Eligible")/F88*100,""))</f>
        <v/>
      </c>
      <c r="J88" t="str">
        <f t="shared" si="4"/>
        <v/>
      </c>
    </row>
    <row r="89" spans="5:10" x14ac:dyDescent="0.25">
      <c r="E89" t="str">
        <f>IF(OR(D89="",K89&lt;&gt;"Yes"),"",IFERROR(_xludf.MINIFS('Quotation Comparison'!$J$5:$J$100,'Quotation Comparison'!$B$5:$B$100,A89,'Quotation Comparison'!$M$5:$M$100,"Yes",'Quotation Comparison'!$Q$5:$Q$100,"Eligible")/D89*100,""))</f>
        <v/>
      </c>
      <c r="G89" t="str">
        <f>IF(OR(F89="",K89&lt;&gt;"Yes"),"",IFERROR(_xludf.MINIFS('Quotation Comparison'!$K$5:$K$100,'Quotation Comparison'!$B$5:$B$100,A89,'Quotation Comparison'!$M$5:$M$100,"Yes",'Quotation Comparison'!$Q$5:$Q$100,"Eligible")/F89*100,""))</f>
        <v/>
      </c>
      <c r="J89" t="str">
        <f t="shared" si="4"/>
        <v/>
      </c>
    </row>
    <row r="90" spans="5:10" x14ac:dyDescent="0.25">
      <c r="E90" t="str">
        <f>IF(OR(D90="",K90&lt;&gt;"Yes"),"",IFERROR(_xludf.MINIFS('Quotation Comparison'!$J$5:$J$100,'Quotation Comparison'!$B$5:$B$100,A90,'Quotation Comparison'!$M$5:$M$100,"Yes",'Quotation Comparison'!$Q$5:$Q$100,"Eligible")/D90*100,""))</f>
        <v/>
      </c>
      <c r="G90" t="str">
        <f>IF(OR(F90="",K90&lt;&gt;"Yes"),"",IFERROR(_xludf.MINIFS('Quotation Comparison'!$K$5:$K$100,'Quotation Comparison'!$B$5:$B$100,A90,'Quotation Comparison'!$M$5:$M$100,"Yes",'Quotation Comparison'!$Q$5:$Q$100,"Eligible")/F90*100,""))</f>
        <v/>
      </c>
      <c r="J90" t="str">
        <f t="shared" si="4"/>
        <v/>
      </c>
    </row>
    <row r="91" spans="5:10" x14ac:dyDescent="0.25">
      <c r="E91" t="str">
        <f>IF(OR(D91="",K91&lt;&gt;"Yes"),"",IFERROR(_xludf.MINIFS('Quotation Comparison'!$J$5:$J$100,'Quotation Comparison'!$B$5:$B$100,A91,'Quotation Comparison'!$M$5:$M$100,"Yes",'Quotation Comparison'!$Q$5:$Q$100,"Eligible")/D91*100,""))</f>
        <v/>
      </c>
      <c r="G91" t="str">
        <f>IF(OR(F91="",K91&lt;&gt;"Yes"),"",IFERROR(_xludf.MINIFS('Quotation Comparison'!$K$5:$K$100,'Quotation Comparison'!$B$5:$B$100,A91,'Quotation Comparison'!$M$5:$M$100,"Yes",'Quotation Comparison'!$Q$5:$Q$100,"Eligible")/F91*100,""))</f>
        <v/>
      </c>
      <c r="J91" t="str">
        <f t="shared" si="4"/>
        <v/>
      </c>
    </row>
    <row r="92" spans="5:10" x14ac:dyDescent="0.25">
      <c r="E92" t="str">
        <f>IF(OR(D92="",K92&lt;&gt;"Yes"),"",IFERROR(_xludf.MINIFS('Quotation Comparison'!$J$5:$J$100,'Quotation Comparison'!$B$5:$B$100,A92,'Quotation Comparison'!$M$5:$M$100,"Yes",'Quotation Comparison'!$Q$5:$Q$100,"Eligible")/D92*100,""))</f>
        <v/>
      </c>
      <c r="G92" t="str">
        <f>IF(OR(F92="",K92&lt;&gt;"Yes"),"",IFERROR(_xludf.MINIFS('Quotation Comparison'!$K$5:$K$100,'Quotation Comparison'!$B$5:$B$100,A92,'Quotation Comparison'!$M$5:$M$100,"Yes",'Quotation Comparison'!$Q$5:$Q$100,"Eligible")/F92*100,""))</f>
        <v/>
      </c>
      <c r="J92" t="str">
        <f t="shared" si="4"/>
        <v/>
      </c>
    </row>
    <row r="93" spans="5:10" x14ac:dyDescent="0.25">
      <c r="E93" t="str">
        <f>IF(OR(D93="",K93&lt;&gt;"Yes"),"",IFERROR(_xludf.MINIFS('Quotation Comparison'!$J$5:$J$100,'Quotation Comparison'!$B$5:$B$100,A93,'Quotation Comparison'!$M$5:$M$100,"Yes",'Quotation Comparison'!$Q$5:$Q$100,"Eligible")/D93*100,""))</f>
        <v/>
      </c>
      <c r="G93" t="str">
        <f>IF(OR(F93="",K93&lt;&gt;"Yes"),"",IFERROR(_xludf.MINIFS('Quotation Comparison'!$K$5:$K$100,'Quotation Comparison'!$B$5:$B$100,A93,'Quotation Comparison'!$M$5:$M$100,"Yes",'Quotation Comparison'!$Q$5:$Q$100,"Eligible")/F93*100,""))</f>
        <v/>
      </c>
      <c r="J93" t="str">
        <f t="shared" si="4"/>
        <v/>
      </c>
    </row>
    <row r="94" spans="5:10" x14ac:dyDescent="0.25">
      <c r="E94" t="str">
        <f>IF(OR(D94="",K94&lt;&gt;"Yes"),"",IFERROR(_xludf.MINIFS('Quotation Comparison'!$J$5:$J$100,'Quotation Comparison'!$B$5:$B$100,A94,'Quotation Comparison'!$M$5:$M$100,"Yes",'Quotation Comparison'!$Q$5:$Q$100,"Eligible")/D94*100,""))</f>
        <v/>
      </c>
      <c r="G94" t="str">
        <f>IF(OR(F94="",K94&lt;&gt;"Yes"),"",IFERROR(_xludf.MINIFS('Quotation Comparison'!$K$5:$K$100,'Quotation Comparison'!$B$5:$B$100,A94,'Quotation Comparison'!$M$5:$M$100,"Yes",'Quotation Comparison'!$Q$5:$Q$100,"Eligible")/F94*100,""))</f>
        <v/>
      </c>
      <c r="J94" t="str">
        <f t="shared" si="4"/>
        <v/>
      </c>
    </row>
    <row r="95" spans="5:10" x14ac:dyDescent="0.25">
      <c r="E95" t="str">
        <f>IF(OR(D95="",K95&lt;&gt;"Yes"),"",IFERROR(_xludf.MINIFS('Quotation Comparison'!$J$5:$J$100,'Quotation Comparison'!$B$5:$B$100,A95,'Quotation Comparison'!$M$5:$M$100,"Yes",'Quotation Comparison'!$Q$5:$Q$100,"Eligible")/D95*100,""))</f>
        <v/>
      </c>
      <c r="G95" t="str">
        <f>IF(OR(F95="",K95&lt;&gt;"Yes"),"",IFERROR(_xludf.MINIFS('Quotation Comparison'!$K$5:$K$100,'Quotation Comparison'!$B$5:$B$100,A95,'Quotation Comparison'!$M$5:$M$100,"Yes",'Quotation Comparison'!$Q$5:$Q$100,"Eligible")/F95*100,""))</f>
        <v/>
      </c>
      <c r="J95" t="str">
        <f t="shared" si="4"/>
        <v/>
      </c>
    </row>
    <row r="96" spans="5:10" x14ac:dyDescent="0.25">
      <c r="E96" t="str">
        <f>IF(OR(D96="",K96&lt;&gt;"Yes"),"",IFERROR(_xludf.MINIFS('Quotation Comparison'!$J$5:$J$100,'Quotation Comparison'!$B$5:$B$100,A96,'Quotation Comparison'!$M$5:$M$100,"Yes",'Quotation Comparison'!$Q$5:$Q$100,"Eligible")/D96*100,""))</f>
        <v/>
      </c>
      <c r="G96" t="str">
        <f>IF(OR(F96="",K96&lt;&gt;"Yes"),"",IFERROR(_xludf.MINIFS('Quotation Comparison'!$K$5:$K$100,'Quotation Comparison'!$B$5:$B$100,A96,'Quotation Comparison'!$M$5:$M$100,"Yes",'Quotation Comparison'!$Q$5:$Q$100,"Eligible")/F96*100,""))</f>
        <v/>
      </c>
      <c r="J96" t="str">
        <f t="shared" si="4"/>
        <v/>
      </c>
    </row>
    <row r="97" spans="5:10" x14ac:dyDescent="0.25">
      <c r="E97" t="str">
        <f>IF(OR(D97="",K97&lt;&gt;"Yes"),"",IFERROR(_xludf.MINIFS('Quotation Comparison'!$J$5:$J$100,'Quotation Comparison'!$B$5:$B$100,A97,'Quotation Comparison'!$M$5:$M$100,"Yes",'Quotation Comparison'!$Q$5:$Q$100,"Eligible")/D97*100,""))</f>
        <v/>
      </c>
      <c r="G97" t="str">
        <f>IF(OR(F97="",K97&lt;&gt;"Yes"),"",IFERROR(_xludf.MINIFS('Quotation Comparison'!$K$5:$K$100,'Quotation Comparison'!$B$5:$B$100,A97,'Quotation Comparison'!$M$5:$M$100,"Yes",'Quotation Comparison'!$Q$5:$Q$100,"Eligible")/F97*100,""))</f>
        <v/>
      </c>
      <c r="J97" t="str">
        <f t="shared" si="4"/>
        <v/>
      </c>
    </row>
    <row r="98" spans="5:10" x14ac:dyDescent="0.25">
      <c r="E98" t="str">
        <f>IF(OR(D98="",K98&lt;&gt;"Yes"),"",IFERROR(_xludf.MINIFS('Quotation Comparison'!$J$5:$J$100,'Quotation Comparison'!$B$5:$B$100,A98,'Quotation Comparison'!$M$5:$M$100,"Yes",'Quotation Comparison'!$Q$5:$Q$100,"Eligible")/D98*100,""))</f>
        <v/>
      </c>
      <c r="G98" t="str">
        <f>IF(OR(F98="",K98&lt;&gt;"Yes"),"",IFERROR(_xludf.MINIFS('Quotation Comparison'!$K$5:$K$100,'Quotation Comparison'!$B$5:$B$100,A98,'Quotation Comparison'!$M$5:$M$100,"Yes",'Quotation Comparison'!$Q$5:$Q$100,"Eligible")/F98*100,""))</f>
        <v/>
      </c>
      <c r="J98" t="str">
        <f t="shared" si="4"/>
        <v/>
      </c>
    </row>
    <row r="99" spans="5:10" x14ac:dyDescent="0.25">
      <c r="E99" t="str">
        <f>IF(OR(D99="",K99&lt;&gt;"Yes"),"",IFERROR(_xludf.MINIFS('Quotation Comparison'!$J$5:$J$100,'Quotation Comparison'!$B$5:$B$100,A99,'Quotation Comparison'!$M$5:$M$100,"Yes",'Quotation Comparison'!$Q$5:$Q$100,"Eligible")/D99*100,""))</f>
        <v/>
      </c>
      <c r="G99" t="str">
        <f>IF(OR(F99="",K99&lt;&gt;"Yes"),"",IFERROR(_xludf.MINIFS('Quotation Comparison'!$K$5:$K$100,'Quotation Comparison'!$B$5:$B$100,A99,'Quotation Comparison'!$M$5:$M$100,"Yes",'Quotation Comparison'!$Q$5:$Q$100,"Eligible")/F99*100,""))</f>
        <v/>
      </c>
      <c r="J99" t="str">
        <f t="shared" si="4"/>
        <v/>
      </c>
    </row>
    <row r="100" spans="5:10" x14ac:dyDescent="0.25">
      <c r="E100" t="str">
        <f>IF(OR(D100="",K100&lt;&gt;"Yes"),"",IFERROR(_xludf.MINIFS('Quotation Comparison'!$J$5:$J$100,'Quotation Comparison'!$B$5:$B$100,A100,'Quotation Comparison'!$M$5:$M$100,"Yes",'Quotation Comparison'!$Q$5:$Q$100,"Eligible")/D100*100,""))</f>
        <v/>
      </c>
      <c r="G100" t="str">
        <f>IF(OR(F100="",K100&lt;&gt;"Yes"),"",IFERROR(_xludf.MINIFS('Quotation Comparison'!$K$5:$K$100,'Quotation Comparison'!$B$5:$B$100,A100,'Quotation Comparison'!$M$5:$M$100,"Yes",'Quotation Comparison'!$Q$5:$Q$100,"Eligible")/F100*100,""))</f>
        <v/>
      </c>
      <c r="J100" t="str">
        <f t="shared" si="4"/>
        <v/>
      </c>
    </row>
  </sheetData>
  <mergeCells count="2">
    <mergeCell ref="A2:L2"/>
    <mergeCell ref="A1:L1"/>
  </mergeCells>
  <conditionalFormatting sqref="L5:L100">
    <cfRule type="expression" dxfId="3" priority="1">
      <formula>ISNUMBER(SEARCH("Non-Compliant",L5))</formula>
    </cfRule>
    <cfRule type="expression" dxfId="2" priority="2">
      <formula>ISNUMBER(SEARCH("Recommended",L5))</formula>
    </cfRule>
    <cfRule type="expression" dxfId="1" priority="3">
      <formula>ISNUMBER(SEARCH("Pending",L5))</formula>
    </cfRule>
  </conditionalFormatting>
  <pageMargins left="0.25" right="0.25" top="0.5" bottom="0.5" header="0.5" footer="0.5"/>
  <pageSetup fitToHeight="0"/>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4E78"/>
    <pageSetUpPr fitToPage="1"/>
  </sheetPr>
  <dimension ref="A1:H8"/>
  <sheetViews>
    <sheetView showGridLines="0" zoomScale="85" workbookViewId="0">
      <pane ySplit="4" topLeftCell="A5" activePane="bottomLeft" state="frozen"/>
      <selection pane="bottomLeft" activeCell="C8" sqref="C8"/>
    </sheetView>
  </sheetViews>
  <sheetFormatPr defaultRowHeight="15" x14ac:dyDescent="0.25"/>
  <cols>
    <col min="1" max="1" width="19.42578125" customWidth="1"/>
    <col min="2" max="2" width="31.140625" customWidth="1"/>
    <col min="3" max="3" width="29" customWidth="1"/>
    <col min="4" max="5" width="19" customWidth="1"/>
    <col min="6" max="6" width="19.28515625" customWidth="1"/>
    <col min="7" max="7" width="83.85546875" customWidth="1"/>
    <col min="8" max="8" width="20.140625" customWidth="1"/>
  </cols>
  <sheetData>
    <row r="1" spans="1:8" ht="30" customHeight="1" x14ac:dyDescent="0.25">
      <c r="A1" s="25" t="s">
        <v>210</v>
      </c>
      <c r="B1" s="24"/>
      <c r="C1" s="24"/>
      <c r="D1" s="24"/>
      <c r="E1" s="24"/>
      <c r="F1" s="24"/>
      <c r="G1" s="24"/>
      <c r="H1" s="24"/>
    </row>
    <row r="2" spans="1:8" ht="27" customHeight="1" x14ac:dyDescent="0.25">
      <c r="A2" s="26" t="s">
        <v>211</v>
      </c>
      <c r="B2" s="24"/>
      <c r="C2" s="24"/>
      <c r="D2" s="24"/>
      <c r="E2" s="24"/>
      <c r="F2" s="24"/>
      <c r="G2" s="24"/>
      <c r="H2" s="24"/>
    </row>
    <row r="4" spans="1:8" ht="33.950000000000003" customHeight="1" x14ac:dyDescent="0.25">
      <c r="A4" s="10" t="s">
        <v>5</v>
      </c>
      <c r="B4" s="10" t="s">
        <v>32</v>
      </c>
      <c r="C4" s="10" t="s">
        <v>10</v>
      </c>
      <c r="D4" s="10" t="s">
        <v>212</v>
      </c>
      <c r="E4" s="10" t="s">
        <v>9</v>
      </c>
      <c r="F4" s="10" t="s">
        <v>213</v>
      </c>
      <c r="G4" s="10" t="s">
        <v>214</v>
      </c>
      <c r="H4" s="10" t="s">
        <v>215</v>
      </c>
    </row>
    <row r="5" spans="1:8" x14ac:dyDescent="0.25">
      <c r="A5" s="11" t="s">
        <v>12</v>
      </c>
      <c r="B5" s="11" t="s">
        <v>13</v>
      </c>
      <c r="C5" s="11" t="str">
        <f ca="1">IFERROR(INDEX('Supplier Evaluation'!$C$5:$C$100,MATCH(1,INDEX(('Supplier Evaluation'!$A$5:$A$100=A5)*('Supplier Evaluation'!$K$5:$K$100="Yes")*('Supplier Evaluation'!$J$5:$J$100=_xlfn.MAXIFS('Supplier Evaluation'!$J$5:$J$100,'Supplier Evaluation'!$A$5:$A$100,A5,'Supplier Evaluation'!$K$5:$K$100,"Yes")),0),0)),"Review Required")</f>
        <v>Eastern Safety Trading</v>
      </c>
      <c r="D5" s="12">
        <f ca="1">IFERROR(INDEX('Supplier Evaluation'!$D$5:$D$100,MATCH(1,INDEX(('Supplier Evaluation'!$A$5:$A$100=A5)*('Supplier Evaluation'!$C$5:$C$100=C5),0),0)),"")</f>
        <v>5020.3999999999996</v>
      </c>
      <c r="E5" s="12">
        <f ca="1">IFERROR(_xlfn.MINIFS('Quotation Comparison'!$J$5:$J$100,'Quotation Comparison'!$B$5:$B$100,A5,'Quotation Comparison'!$M$5:$M$100,"Yes",'Quotation Comparison'!$Q$5:$Q$100,"Eligible"),"")</f>
        <v>4895.7</v>
      </c>
      <c r="F5" s="12">
        <f ca="1">IF(OR(D5="",E5=""),"",D5-E5)</f>
        <v>124.69999999999982</v>
      </c>
      <c r="G5" s="11" t="str">
        <f ca="1">IF(C5="Review Required","Review compliant quotations, delivery requirements, and scoring before recommendation.",IF(C5="","Review evaluation results before recommendation.","Recommended based on weighted evaluation; confirm specifications, commercial terms, and approvals."))</f>
        <v>Recommended based on weighted evaluation; confirm specifications, commercial terms, and approvals.</v>
      </c>
      <c r="H5" s="11"/>
    </row>
    <row r="6" spans="1:8" x14ac:dyDescent="0.25">
      <c r="A6" s="14" t="s">
        <v>14</v>
      </c>
      <c r="B6" s="14" t="s">
        <v>15</v>
      </c>
      <c r="C6" s="11" t="str">
        <f ca="1">IFERROR(INDEX('Supplier Evaluation'!$C$5:$C$100,MATCH(1,INDEX(('Supplier Evaluation'!$A$5:$A$100=A6)*('Supplier Evaluation'!$K$5:$K$100="Yes")*('Supplier Evaluation'!$J$5:$J$100=_xlfn.MAXIFS('Supplier Evaluation'!$J$5:$J$100,'Supplier Evaluation'!$A$5:$A$100,A6,'Supplier Evaluation'!$K$5:$K$100,"Yes")),0),0)),"Review Required")</f>
        <v>BrightTech Electrical</v>
      </c>
      <c r="D6" s="15">
        <f ca="1">IFERROR(INDEX('Supplier Evaluation'!$D$5:$D$100,MATCH(1,INDEX(('Supplier Evaluation'!$A$5:$A$100=A6)*('Supplier Evaluation'!$C$5:$C$100=C6),0),0)),"")</f>
        <v>16668.599999999999</v>
      </c>
      <c r="E6" s="12">
        <f ca="1">IFERROR(_xlfn.MINIFS('Quotation Comparison'!$J$5:$J$100,'Quotation Comparison'!$B$5:$B$100,A6,'Quotation Comparison'!$M$5:$M$100,"Yes",'Quotation Comparison'!$Q$5:$Q$100,"Eligible"),"")</f>
        <v>16668.599999999999</v>
      </c>
      <c r="F6" s="15">
        <f ca="1">IF(OR(D6="",E6=""),"",D6-E6)</f>
        <v>0</v>
      </c>
      <c r="G6" s="14" t="str">
        <f ca="1">IF(C6="Review Required","Review compliant quotations, delivery requirements, and scoring before recommendation.",IF(C6="","Review evaluation results before recommendation.","Recommended based on weighted evaluation; confirm specifications, commercial terms, and approvals."))</f>
        <v>Recommended based on weighted evaluation; confirm specifications, commercial terms, and approvals.</v>
      </c>
      <c r="H6" s="14"/>
    </row>
    <row r="7" spans="1:8" x14ac:dyDescent="0.25">
      <c r="A7" s="11" t="s">
        <v>16</v>
      </c>
      <c r="B7" s="11" t="s">
        <v>17</v>
      </c>
      <c r="C7" s="11" t="str">
        <f ca="1">IFERROR(INDEX('Supplier Evaluation'!$C$5:$C$100,MATCH(1,INDEX(('Supplier Evaluation'!$A$5:$A$100=A7)*('Supplier Evaluation'!$K$5:$K$100="Yes")*('Supplier Evaluation'!$J$5:$J$100=_xlfn.MAXIFS('Supplier Evaluation'!$J$5:$J$100,'Supplier Evaluation'!$A$5:$A$100,A7,'Supplier Evaluation'!$K$5:$K$100,"Yes")),0),0)),"Review Required")</f>
        <v>ScanPro Systems</v>
      </c>
      <c r="D7" s="12">
        <f ca="1">IFERROR(INDEX('Supplier Evaluation'!$D$5:$D$100,MATCH(1,INDEX(('Supplier Evaluation'!$A$5:$A$100=A7)*('Supplier Evaluation'!$C$5:$C$100=C7),0),0)),"")</f>
        <v>9196.32</v>
      </c>
      <c r="E7" s="12">
        <f ca="1">IFERROR(_xlfn.MINIFS('Quotation Comparison'!$J$5:$J$100,'Quotation Comparison'!$B$5:$B$100,A7,'Quotation Comparison'!$M$5:$M$100,"Yes",'Quotation Comparison'!$Q$5:$Q$100,"Eligible"),"")</f>
        <v>8715</v>
      </c>
      <c r="F7" s="12">
        <f ca="1">IF(OR(D7="",E7=""),"",D7-E7)</f>
        <v>481.31999999999971</v>
      </c>
      <c r="G7" s="11" t="str">
        <f ca="1">IF(C7="Review Required","Review compliant quotations, delivery requirements, and scoring before recommendation.",IF(C7="","Review evaluation results before recommendation.","Recommended based on weighted evaluation; confirm specifications, commercial terms, and approvals."))</f>
        <v>Recommended based on weighted evaluation; confirm specifications, commercial terms, and approvals.</v>
      </c>
      <c r="H7" s="11"/>
    </row>
    <row r="8" spans="1:8" x14ac:dyDescent="0.25">
      <c r="A8" s="14" t="s">
        <v>18</v>
      </c>
      <c r="B8" s="14" t="s">
        <v>19</v>
      </c>
      <c r="C8" s="11" t="str">
        <f ca="1">IFERROR(INDEX('Supplier Evaluation'!$C$5:$C$100,MATCH(1,INDEX(('Supplier Evaluation'!$A$5:$A$100=A8)*('Supplier Evaluation'!$K$5:$K$100="Yes")*('Supplier Evaluation'!$J$5:$J$100=_xlfn.MAXIFS('Supplier Evaluation'!$J$5:$J$100,'Supplier Evaluation'!$A$5:$A$100,A8,'Supplier Evaluation'!$K$5:$K$100,"Yes")),0),0)),"Review Required")</f>
        <v>Gulf Industrial Supply</v>
      </c>
      <c r="D8" s="15">
        <f ca="1">IFERROR(INDEX('Supplier Evaluation'!$D$5:$D$100,MATCH(1,INDEX(('Supplier Evaluation'!$A$5:$A$100=A8)*('Supplier Evaluation'!$C$5:$C$100=C8),0),0)),"")</f>
        <v>3730.8</v>
      </c>
      <c r="E8" s="12">
        <f ca="1">IFERROR(_xlfn.MINIFS('Quotation Comparison'!$J$5:$J$100,'Quotation Comparison'!$B$5:$B$100,A8,'Quotation Comparison'!$M$5:$M$100,"Yes",'Quotation Comparison'!$Q$5:$Q$100,"Eligible"),"")</f>
        <v>3730.8</v>
      </c>
      <c r="F8" s="15">
        <f ca="1">IF(OR(D8="",E8=""),"",D8-E8)</f>
        <v>0</v>
      </c>
      <c r="G8" s="14" t="str">
        <f ca="1">IF(C8="Review Required","Review compliant quotations, delivery requirements, and scoring before recommendation.",IF(C8="","Review evaluation results before recommendation.","Recommended based on weighted evaluation; confirm specifications, commercial terms, and approvals."))</f>
        <v>Recommended based on weighted evaluation; confirm specifications, commercial terms, and approvals.</v>
      </c>
      <c r="H8" s="14"/>
    </row>
  </sheetData>
  <mergeCells count="2">
    <mergeCell ref="A2:H2"/>
    <mergeCell ref="A1:H1"/>
  </mergeCells>
  <pageMargins left="0.25" right="0.25" top="0.5" bottom="0.5" header="0.5" footer="0.5"/>
  <pageSetup fitToHeight="0"/>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F4E78"/>
    <pageSetUpPr fitToPage="1"/>
  </sheetPr>
  <dimension ref="A1:E9"/>
  <sheetViews>
    <sheetView showGridLines="0" zoomScale="85" workbookViewId="0">
      <pane ySplit="4" topLeftCell="A5" activePane="bottomLeft" state="frozen"/>
      <selection pane="bottomLeft" sqref="A1:E1"/>
    </sheetView>
  </sheetViews>
  <sheetFormatPr defaultRowHeight="15" x14ac:dyDescent="0.25"/>
  <cols>
    <col min="1" max="1" width="20" customWidth="1"/>
    <col min="2" max="2" width="24" customWidth="1"/>
    <col min="3" max="4" width="22" customWidth="1"/>
    <col min="5" max="5" width="24" customWidth="1"/>
  </cols>
  <sheetData>
    <row r="1" spans="1:5" ht="30" customHeight="1" x14ac:dyDescent="0.25">
      <c r="A1" s="25" t="s">
        <v>216</v>
      </c>
      <c r="B1" s="24"/>
      <c r="C1" s="24"/>
      <c r="D1" s="24"/>
      <c r="E1" s="24"/>
    </row>
    <row r="2" spans="1:5" ht="27" customHeight="1" x14ac:dyDescent="0.25">
      <c r="A2" s="26" t="s">
        <v>217</v>
      </c>
      <c r="B2" s="24"/>
      <c r="C2" s="24"/>
      <c r="D2" s="24"/>
      <c r="E2" s="24"/>
    </row>
    <row r="4" spans="1:5" x14ac:dyDescent="0.25">
      <c r="A4" s="7" t="s">
        <v>38</v>
      </c>
      <c r="B4" s="7" t="s">
        <v>39</v>
      </c>
      <c r="C4" s="7" t="s">
        <v>126</v>
      </c>
      <c r="D4" s="7" t="s">
        <v>123</v>
      </c>
      <c r="E4" s="7" t="s">
        <v>218</v>
      </c>
    </row>
    <row r="5" spans="1:5" x14ac:dyDescent="0.25">
      <c r="A5" s="8" t="s">
        <v>97</v>
      </c>
      <c r="B5" s="8" t="s">
        <v>219</v>
      </c>
      <c r="C5" s="8" t="s">
        <v>219</v>
      </c>
      <c r="D5" s="8" t="s">
        <v>159</v>
      </c>
      <c r="E5" s="8" t="s">
        <v>220</v>
      </c>
    </row>
    <row r="6" spans="1:5" x14ac:dyDescent="0.25">
      <c r="A6" s="8" t="s">
        <v>60</v>
      </c>
      <c r="B6" s="8" t="s">
        <v>80</v>
      </c>
      <c r="C6" s="8" t="s">
        <v>221</v>
      </c>
      <c r="D6" s="8" t="s">
        <v>132</v>
      </c>
      <c r="E6" s="8" t="s">
        <v>222</v>
      </c>
    </row>
    <row r="7" spans="1:5" x14ac:dyDescent="0.25">
      <c r="A7" s="8" t="s">
        <v>49</v>
      </c>
      <c r="B7" s="8" t="s">
        <v>50</v>
      </c>
      <c r="C7" s="8" t="s">
        <v>135</v>
      </c>
      <c r="D7" s="8" t="s">
        <v>175</v>
      </c>
      <c r="E7" s="8" t="s">
        <v>223</v>
      </c>
    </row>
    <row r="8" spans="1:5" x14ac:dyDescent="0.25">
      <c r="A8" s="8" t="s">
        <v>87</v>
      </c>
      <c r="B8" s="8" t="s">
        <v>224</v>
      </c>
      <c r="C8" s="8" t="s">
        <v>225</v>
      </c>
      <c r="D8" s="8" t="s">
        <v>226</v>
      </c>
    </row>
    <row r="9" spans="1:5" x14ac:dyDescent="0.25">
      <c r="B9" s="8" t="s">
        <v>227</v>
      </c>
      <c r="C9" s="8" t="s">
        <v>227</v>
      </c>
    </row>
  </sheetData>
  <mergeCells count="2">
    <mergeCell ref="A2:E2"/>
    <mergeCell ref="A1:E1"/>
  </mergeCells>
  <pageMargins left="0.25" right="0.25" top="0.5" bottom="0.5" header="0.5" footer="0.5"/>
  <pageSetup fitToHeight="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1F4E78"/>
    <pageSetUpPr fitToPage="1"/>
  </sheetPr>
  <dimension ref="A1:F12"/>
  <sheetViews>
    <sheetView showGridLines="0" zoomScale="85" workbookViewId="0">
      <pane ySplit="3" topLeftCell="A4" activePane="bottomLeft" state="frozen"/>
      <selection pane="bottomLeft" sqref="A1:F1"/>
    </sheetView>
  </sheetViews>
  <sheetFormatPr defaultRowHeight="15" x14ac:dyDescent="0.25"/>
  <cols>
    <col min="1" max="1" width="24" customWidth="1"/>
    <col min="2" max="6" width="25" customWidth="1"/>
  </cols>
  <sheetData>
    <row r="1" spans="1:6" ht="30" customHeight="1" x14ac:dyDescent="0.25">
      <c r="A1" s="25" t="s">
        <v>228</v>
      </c>
      <c r="B1" s="24"/>
      <c r="C1" s="24"/>
      <c r="D1" s="24"/>
      <c r="E1" s="24"/>
      <c r="F1" s="24"/>
    </row>
    <row r="2" spans="1:6" ht="27" customHeight="1" x14ac:dyDescent="0.25">
      <c r="A2" s="26" t="s">
        <v>229</v>
      </c>
      <c r="B2" s="24"/>
      <c r="C2" s="24"/>
      <c r="D2" s="24"/>
      <c r="E2" s="24"/>
      <c r="F2" s="24"/>
    </row>
    <row r="4" spans="1:6" ht="48" customHeight="1" x14ac:dyDescent="0.25">
      <c r="A4" s="9" t="s">
        <v>230</v>
      </c>
      <c r="B4" s="30" t="s">
        <v>231</v>
      </c>
      <c r="C4" s="31"/>
      <c r="D4" s="31"/>
      <c r="E4" s="31"/>
      <c r="F4" s="32"/>
    </row>
    <row r="5" spans="1:6" ht="33.950000000000003" customHeight="1" x14ac:dyDescent="0.25">
      <c r="A5" s="9" t="s">
        <v>232</v>
      </c>
      <c r="B5" s="30" t="s">
        <v>233</v>
      </c>
      <c r="C5" s="31"/>
      <c r="D5" s="31"/>
      <c r="E5" s="31"/>
      <c r="F5" s="32"/>
    </row>
    <row r="6" spans="1:6" ht="48" customHeight="1" x14ac:dyDescent="0.25">
      <c r="A6" s="9" t="s">
        <v>234</v>
      </c>
      <c r="B6" s="30" t="s">
        <v>235</v>
      </c>
      <c r="C6" s="31"/>
      <c r="D6" s="31"/>
      <c r="E6" s="31"/>
      <c r="F6" s="32"/>
    </row>
    <row r="7" spans="1:6" ht="48" customHeight="1" x14ac:dyDescent="0.25">
      <c r="A7" s="9" t="s">
        <v>236</v>
      </c>
      <c r="B7" s="30" t="s">
        <v>237</v>
      </c>
      <c r="C7" s="31"/>
      <c r="D7" s="31"/>
      <c r="E7" s="31"/>
      <c r="F7" s="32"/>
    </row>
    <row r="8" spans="1:6" ht="48" customHeight="1" x14ac:dyDescent="0.25">
      <c r="A8" s="9" t="s">
        <v>238</v>
      </c>
      <c r="B8" s="30" t="s">
        <v>239</v>
      </c>
      <c r="C8" s="31"/>
      <c r="D8" s="31"/>
      <c r="E8" s="31"/>
      <c r="F8" s="32"/>
    </row>
    <row r="9" spans="1:6" ht="48" customHeight="1" x14ac:dyDescent="0.25">
      <c r="A9" s="9" t="s">
        <v>240</v>
      </c>
      <c r="B9" s="30" t="s">
        <v>241</v>
      </c>
      <c r="C9" s="31"/>
      <c r="D9" s="31"/>
      <c r="E9" s="31"/>
      <c r="F9" s="32"/>
    </row>
    <row r="10" spans="1:6" ht="48" customHeight="1" x14ac:dyDescent="0.25">
      <c r="A10" s="9" t="s">
        <v>242</v>
      </c>
      <c r="B10" s="30" t="s">
        <v>243</v>
      </c>
      <c r="C10" s="31"/>
      <c r="D10" s="31"/>
      <c r="E10" s="31"/>
      <c r="F10" s="32"/>
    </row>
    <row r="11" spans="1:6" ht="48" customHeight="1" x14ac:dyDescent="0.25">
      <c r="A11" s="9" t="s">
        <v>244</v>
      </c>
      <c r="B11" s="30" t="s">
        <v>245</v>
      </c>
      <c r="C11" s="31"/>
      <c r="D11" s="31"/>
      <c r="E11" s="31"/>
      <c r="F11" s="32"/>
    </row>
    <row r="12" spans="1:6" ht="33.950000000000003" customHeight="1" x14ac:dyDescent="0.25">
      <c r="A12" s="9" t="s">
        <v>246</v>
      </c>
      <c r="B12" s="30" t="s">
        <v>247</v>
      </c>
      <c r="C12" s="31"/>
      <c r="D12" s="31"/>
      <c r="E12" s="31"/>
      <c r="F12" s="32"/>
    </row>
  </sheetData>
  <mergeCells count="11">
    <mergeCell ref="B12:F12"/>
    <mergeCell ref="B7:F7"/>
    <mergeCell ref="B6:F6"/>
    <mergeCell ref="B10:F10"/>
    <mergeCell ref="A1:F1"/>
    <mergeCell ref="B11:F11"/>
    <mergeCell ref="B5:F5"/>
    <mergeCell ref="B8:F8"/>
    <mergeCell ref="B9:F9"/>
    <mergeCell ref="B4:F4"/>
    <mergeCell ref="A2:F2"/>
  </mergeCells>
  <pageMargins left="0.25" right="0.25" top="0.5" bottom="0.5" header="0.5" footer="0.5"/>
  <pageSetup fitToHeigh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Dashboard</vt:lpstr>
      <vt:lpstr>Purchase Requisitions</vt:lpstr>
      <vt:lpstr>RFQ Register</vt:lpstr>
      <vt:lpstr>Quotation Comparison</vt:lpstr>
      <vt:lpstr>Supplier Evaluation</vt:lpstr>
      <vt:lpstr>Award Recommendation</vt:lpstr>
      <vt:lpstr>Lists</vt:lpstr>
      <vt:lpstr>Read 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بندر الراضي</cp:lastModifiedBy>
  <dcterms:created xsi:type="dcterms:W3CDTF">2026-10-16T13:07:10Z</dcterms:created>
  <dcterms:modified xsi:type="dcterms:W3CDTF">2026-10-17T12:26:01Z</dcterms:modified>
</cp:coreProperties>
</file>